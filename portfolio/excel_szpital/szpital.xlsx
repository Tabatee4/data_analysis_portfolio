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3.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drawings/drawing5.xml" ContentType="application/vnd.openxmlformats-officedocument.drawing+xml"/>
  <Override PartName="/xl/slicers/slicer5.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slicers/slicer6.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Kursy\pliki\excel_szpital\"/>
    </mc:Choice>
  </mc:AlternateContent>
  <xr:revisionPtr revIDLastSave="0" documentId="13_ncr:1_{569DCED3-6491-4606-9243-CAF53E707FE9}" xr6:coauthVersionLast="47" xr6:coauthVersionMax="47" xr10:uidLastSave="{00000000-0000-0000-0000-000000000000}"/>
  <bookViews>
    <workbookView xWindow="-120" yWindow="-120" windowWidth="38640" windowHeight="21120" activeTab="1" xr2:uid="{6831E08D-F37C-405E-B818-C5928B8C016C}"/>
  </bookViews>
  <sheets>
    <sheet name="staff" sheetId="4" r:id="rId1"/>
    <sheet name="services_weekly" sheetId="3" r:id="rId2"/>
    <sheet name="patients" sheetId="2" r:id="rId3"/>
    <sheet name="raw_calculations" sheetId="9" r:id="rId4"/>
    <sheet name="dashboard" sheetId="14" r:id="rId5"/>
    <sheet name="specific_info" sheetId="15" r:id="rId6"/>
  </sheets>
  <definedNames>
    <definedName name="_xlcn.WorksheetConnection_szpital.xlsxpatients1" hidden="1">patients[]</definedName>
    <definedName name="_xlcn.WorksheetConnection_szpital.xlsxservices_weekly1" hidden="1">services_weekly[]</definedName>
    <definedName name="_xlcn.WorksheetConnection_szpital.xlsxstaff1" hidden="1">staff[]</definedName>
    <definedName name="ExternalData_1" localSheetId="2" hidden="1">patients!$B$1:$H$1001</definedName>
    <definedName name="ExternalData_2" localSheetId="1" hidden="1">services_weekly!$B$1:$K$209</definedName>
    <definedName name="ExternalData_3" localSheetId="0" hidden="1">staff!$B$1:$E$111</definedName>
    <definedName name="Slicer_age_group">#N/A</definedName>
    <definedName name="Slicer_service">#N/A</definedName>
  </definedNames>
  <calcPr calcId="191029"/>
  <pivotCaches>
    <pivotCache cacheId="1561" r:id="rId7"/>
    <pivotCache cacheId="1564" r:id="rId8"/>
    <pivotCache cacheId="1567" r:id="rId9"/>
    <pivotCache cacheId="1570" r:id="rId10"/>
    <pivotCache cacheId="1573" r:id="rId11"/>
    <pivotCache cacheId="1576" r:id="rId12"/>
  </pivotCaches>
  <extLst>
    <ext xmlns:x14="http://schemas.microsoft.com/office/spreadsheetml/2009/9/main" uri="{876F7934-8845-4945-9796-88D515C7AA90}">
      <x14:pivotCaches>
        <pivotCache cacheId="151"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ff" name="staff" connection="WorksheetConnection_szpital.xlsx!staff"/>
          <x15:modelTable id="services_weekly" name="services_weekly" connection="WorksheetConnection_szpital.xlsx!services_weekly"/>
          <x15:modelTable id="patients" name="patients" connection="WorksheetConnection_szpital.xlsx!patients"/>
        </x15:modelTables>
        <x15:extLst>
          <ext xmlns:x16="http://schemas.microsoft.com/office/spreadsheetml/2014/11/main" uri="{9835A34E-60A6-4A7C-AAB8-D5F71C897F49}">
            <x16:modelTimeGroupings>
              <x16:modelTimeGrouping tableName="patients" columnName="arrival_date" columnId="arrival_date">
                <x16:calculatedTimeColumn columnName="arrival_date (Month Index)" columnId="arrival_date (Month Index)" contentType="monthsindex" isSelected="1"/>
                <x16:calculatedTimeColumn columnName="arrival_date (Month)" columnId="arrival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2" i="9" l="1"/>
  <c r="I32" i="9"/>
  <c r="K2" i="2"/>
  <c r="L2" i="2" s="1"/>
  <c r="K3" i="2"/>
  <c r="L3" i="2" s="1"/>
  <c r="K4" i="2"/>
  <c r="L4" i="2" s="1"/>
  <c r="K5" i="2"/>
  <c r="L5" i="2" s="1"/>
  <c r="K6" i="2"/>
  <c r="L6"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 r="K102" i="2"/>
  <c r="L102" i="2" s="1"/>
  <c r="K103" i="2"/>
  <c r="L103" i="2" s="1"/>
  <c r="K104" i="2"/>
  <c r="L104" i="2" s="1"/>
  <c r="K105" i="2"/>
  <c r="L105" i="2" s="1"/>
  <c r="K106" i="2"/>
  <c r="L106" i="2" s="1"/>
  <c r="K107" i="2"/>
  <c r="L107" i="2" s="1"/>
  <c r="K108" i="2"/>
  <c r="L108" i="2" s="1"/>
  <c r="K109" i="2"/>
  <c r="L109" i="2" s="1"/>
  <c r="K110" i="2"/>
  <c r="L110" i="2" s="1"/>
  <c r="K111" i="2"/>
  <c r="L111" i="2" s="1"/>
  <c r="K112" i="2"/>
  <c r="L112" i="2" s="1"/>
  <c r="K113" i="2"/>
  <c r="L113" i="2" s="1"/>
  <c r="K114" i="2"/>
  <c r="L114" i="2" s="1"/>
  <c r="K115" i="2"/>
  <c r="L115" i="2" s="1"/>
  <c r="K116" i="2"/>
  <c r="L116" i="2" s="1"/>
  <c r="K117" i="2"/>
  <c r="L117" i="2" s="1"/>
  <c r="K118" i="2"/>
  <c r="L118" i="2" s="1"/>
  <c r="K119" i="2"/>
  <c r="L119" i="2" s="1"/>
  <c r="K120" i="2"/>
  <c r="L120" i="2" s="1"/>
  <c r="K121" i="2"/>
  <c r="L121" i="2" s="1"/>
  <c r="K122" i="2"/>
  <c r="L122" i="2" s="1"/>
  <c r="K123" i="2"/>
  <c r="L123" i="2" s="1"/>
  <c r="K124" i="2"/>
  <c r="L124" i="2" s="1"/>
  <c r="K125" i="2"/>
  <c r="L125" i="2" s="1"/>
  <c r="K126" i="2"/>
  <c r="L126" i="2" s="1"/>
  <c r="K127" i="2"/>
  <c r="L127" i="2" s="1"/>
  <c r="K128" i="2"/>
  <c r="L128" i="2" s="1"/>
  <c r="K129" i="2"/>
  <c r="L129" i="2" s="1"/>
  <c r="K130" i="2"/>
  <c r="L130" i="2" s="1"/>
  <c r="K131" i="2"/>
  <c r="L131" i="2" s="1"/>
  <c r="K132" i="2"/>
  <c r="L132" i="2" s="1"/>
  <c r="K133" i="2"/>
  <c r="L133" i="2" s="1"/>
  <c r="K134" i="2"/>
  <c r="L134" i="2" s="1"/>
  <c r="K135" i="2"/>
  <c r="L135" i="2" s="1"/>
  <c r="K136" i="2"/>
  <c r="L136" i="2" s="1"/>
  <c r="K137" i="2"/>
  <c r="L137" i="2" s="1"/>
  <c r="K138" i="2"/>
  <c r="L138" i="2" s="1"/>
  <c r="K139" i="2"/>
  <c r="L139" i="2" s="1"/>
  <c r="K140" i="2"/>
  <c r="L140" i="2" s="1"/>
  <c r="K141" i="2"/>
  <c r="L141" i="2" s="1"/>
  <c r="K142" i="2"/>
  <c r="L142" i="2" s="1"/>
  <c r="K143" i="2"/>
  <c r="L143" i="2" s="1"/>
  <c r="K144" i="2"/>
  <c r="L144" i="2" s="1"/>
  <c r="K145" i="2"/>
  <c r="L145" i="2" s="1"/>
  <c r="K146" i="2"/>
  <c r="L146" i="2" s="1"/>
  <c r="K147" i="2"/>
  <c r="L147" i="2" s="1"/>
  <c r="K148" i="2"/>
  <c r="L148" i="2" s="1"/>
  <c r="K149" i="2"/>
  <c r="L149" i="2" s="1"/>
  <c r="K150" i="2"/>
  <c r="L150" i="2" s="1"/>
  <c r="K151" i="2"/>
  <c r="L151" i="2" s="1"/>
  <c r="K152" i="2"/>
  <c r="L152" i="2" s="1"/>
  <c r="K153" i="2"/>
  <c r="L153" i="2" s="1"/>
  <c r="K154" i="2"/>
  <c r="L154" i="2" s="1"/>
  <c r="K155" i="2"/>
  <c r="L155" i="2" s="1"/>
  <c r="K156" i="2"/>
  <c r="L156" i="2" s="1"/>
  <c r="K157" i="2"/>
  <c r="L157" i="2" s="1"/>
  <c r="K158" i="2"/>
  <c r="L158" i="2" s="1"/>
  <c r="K159" i="2"/>
  <c r="L159" i="2" s="1"/>
  <c r="K160" i="2"/>
  <c r="L160" i="2" s="1"/>
  <c r="K161" i="2"/>
  <c r="L161" i="2" s="1"/>
  <c r="K162" i="2"/>
  <c r="L162" i="2" s="1"/>
  <c r="K163" i="2"/>
  <c r="L163" i="2" s="1"/>
  <c r="K164" i="2"/>
  <c r="L164" i="2" s="1"/>
  <c r="K165" i="2"/>
  <c r="L165" i="2" s="1"/>
  <c r="K166" i="2"/>
  <c r="L166" i="2" s="1"/>
  <c r="K167" i="2"/>
  <c r="L167" i="2" s="1"/>
  <c r="K168" i="2"/>
  <c r="L168" i="2" s="1"/>
  <c r="K169" i="2"/>
  <c r="L169" i="2" s="1"/>
  <c r="K170" i="2"/>
  <c r="L170" i="2" s="1"/>
  <c r="K171" i="2"/>
  <c r="L171" i="2" s="1"/>
  <c r="K172" i="2"/>
  <c r="L172" i="2" s="1"/>
  <c r="K173" i="2"/>
  <c r="L173" i="2" s="1"/>
  <c r="K174" i="2"/>
  <c r="L174" i="2" s="1"/>
  <c r="K175" i="2"/>
  <c r="L175" i="2" s="1"/>
  <c r="K176" i="2"/>
  <c r="L176" i="2" s="1"/>
  <c r="K177" i="2"/>
  <c r="L177" i="2" s="1"/>
  <c r="K178" i="2"/>
  <c r="L178" i="2" s="1"/>
  <c r="K179" i="2"/>
  <c r="L179" i="2" s="1"/>
  <c r="K180" i="2"/>
  <c r="L180" i="2" s="1"/>
  <c r="K181" i="2"/>
  <c r="L181" i="2" s="1"/>
  <c r="K182" i="2"/>
  <c r="L182" i="2" s="1"/>
  <c r="K183" i="2"/>
  <c r="L183" i="2" s="1"/>
  <c r="K184" i="2"/>
  <c r="L184" i="2" s="1"/>
  <c r="K185" i="2"/>
  <c r="L185" i="2" s="1"/>
  <c r="K186" i="2"/>
  <c r="L186" i="2" s="1"/>
  <c r="K187" i="2"/>
  <c r="L187" i="2" s="1"/>
  <c r="K188" i="2"/>
  <c r="L188" i="2" s="1"/>
  <c r="K189" i="2"/>
  <c r="L189" i="2" s="1"/>
  <c r="K190" i="2"/>
  <c r="L190" i="2" s="1"/>
  <c r="K191" i="2"/>
  <c r="L191" i="2" s="1"/>
  <c r="K192" i="2"/>
  <c r="L192" i="2" s="1"/>
  <c r="K193" i="2"/>
  <c r="L193" i="2" s="1"/>
  <c r="K194" i="2"/>
  <c r="L194" i="2" s="1"/>
  <c r="K195" i="2"/>
  <c r="L195" i="2" s="1"/>
  <c r="K196" i="2"/>
  <c r="L196" i="2" s="1"/>
  <c r="K197" i="2"/>
  <c r="L197" i="2" s="1"/>
  <c r="K198" i="2"/>
  <c r="L198" i="2" s="1"/>
  <c r="K199" i="2"/>
  <c r="L199" i="2" s="1"/>
  <c r="K200" i="2"/>
  <c r="L200" i="2" s="1"/>
  <c r="K201" i="2"/>
  <c r="L201" i="2" s="1"/>
  <c r="K202" i="2"/>
  <c r="L202" i="2" s="1"/>
  <c r="K203" i="2"/>
  <c r="L203" i="2" s="1"/>
  <c r="K204" i="2"/>
  <c r="L204" i="2" s="1"/>
  <c r="K205" i="2"/>
  <c r="L205" i="2" s="1"/>
  <c r="K206" i="2"/>
  <c r="L206" i="2" s="1"/>
  <c r="K207" i="2"/>
  <c r="L207" i="2" s="1"/>
  <c r="K208" i="2"/>
  <c r="L208" i="2" s="1"/>
  <c r="K209" i="2"/>
  <c r="L209" i="2" s="1"/>
  <c r="K210" i="2"/>
  <c r="L210" i="2" s="1"/>
  <c r="K211" i="2"/>
  <c r="L211" i="2" s="1"/>
  <c r="K212" i="2"/>
  <c r="L212" i="2" s="1"/>
  <c r="K213" i="2"/>
  <c r="L213" i="2" s="1"/>
  <c r="K214" i="2"/>
  <c r="L214" i="2" s="1"/>
  <c r="K215" i="2"/>
  <c r="L215" i="2" s="1"/>
  <c r="K216" i="2"/>
  <c r="L216" i="2" s="1"/>
  <c r="K217" i="2"/>
  <c r="L217" i="2" s="1"/>
  <c r="K218" i="2"/>
  <c r="L218" i="2" s="1"/>
  <c r="K219" i="2"/>
  <c r="L219" i="2" s="1"/>
  <c r="K220" i="2"/>
  <c r="L220" i="2" s="1"/>
  <c r="K221" i="2"/>
  <c r="L221" i="2" s="1"/>
  <c r="K222" i="2"/>
  <c r="L222" i="2" s="1"/>
  <c r="K223" i="2"/>
  <c r="L223" i="2" s="1"/>
  <c r="K224" i="2"/>
  <c r="L224" i="2" s="1"/>
  <c r="K225" i="2"/>
  <c r="L225" i="2" s="1"/>
  <c r="K226" i="2"/>
  <c r="L226" i="2" s="1"/>
  <c r="K227" i="2"/>
  <c r="L227" i="2" s="1"/>
  <c r="K228" i="2"/>
  <c r="L228" i="2" s="1"/>
  <c r="K229" i="2"/>
  <c r="L229" i="2" s="1"/>
  <c r="K230" i="2"/>
  <c r="L230" i="2" s="1"/>
  <c r="K231" i="2"/>
  <c r="L231" i="2" s="1"/>
  <c r="K232" i="2"/>
  <c r="L232" i="2" s="1"/>
  <c r="K233" i="2"/>
  <c r="L233" i="2" s="1"/>
  <c r="K234" i="2"/>
  <c r="L234" i="2" s="1"/>
  <c r="K235" i="2"/>
  <c r="L235" i="2" s="1"/>
  <c r="K236" i="2"/>
  <c r="L236" i="2" s="1"/>
  <c r="K237" i="2"/>
  <c r="L237" i="2" s="1"/>
  <c r="K238" i="2"/>
  <c r="L238" i="2" s="1"/>
  <c r="K239" i="2"/>
  <c r="L239" i="2" s="1"/>
  <c r="K240" i="2"/>
  <c r="L240" i="2" s="1"/>
  <c r="K241" i="2"/>
  <c r="L241" i="2" s="1"/>
  <c r="K242" i="2"/>
  <c r="L242" i="2" s="1"/>
  <c r="K243" i="2"/>
  <c r="L243" i="2" s="1"/>
  <c r="K244" i="2"/>
  <c r="L244" i="2" s="1"/>
  <c r="K245" i="2"/>
  <c r="L245" i="2" s="1"/>
  <c r="K246" i="2"/>
  <c r="L246" i="2" s="1"/>
  <c r="K247" i="2"/>
  <c r="L247" i="2" s="1"/>
  <c r="K248" i="2"/>
  <c r="L248" i="2" s="1"/>
  <c r="K249" i="2"/>
  <c r="L249" i="2" s="1"/>
  <c r="K250" i="2"/>
  <c r="L250" i="2" s="1"/>
  <c r="K251" i="2"/>
  <c r="L251" i="2" s="1"/>
  <c r="K252" i="2"/>
  <c r="L252" i="2" s="1"/>
  <c r="K253" i="2"/>
  <c r="L253" i="2" s="1"/>
  <c r="K254" i="2"/>
  <c r="L254" i="2" s="1"/>
  <c r="K255" i="2"/>
  <c r="L255" i="2" s="1"/>
  <c r="K256" i="2"/>
  <c r="L256" i="2" s="1"/>
  <c r="K257" i="2"/>
  <c r="L257" i="2" s="1"/>
  <c r="K258" i="2"/>
  <c r="L258" i="2" s="1"/>
  <c r="K259" i="2"/>
  <c r="L259" i="2" s="1"/>
  <c r="K260" i="2"/>
  <c r="L260" i="2" s="1"/>
  <c r="K261" i="2"/>
  <c r="L261" i="2" s="1"/>
  <c r="K262" i="2"/>
  <c r="L262" i="2" s="1"/>
  <c r="K263" i="2"/>
  <c r="L263" i="2" s="1"/>
  <c r="K264" i="2"/>
  <c r="L264" i="2" s="1"/>
  <c r="K265" i="2"/>
  <c r="L265" i="2" s="1"/>
  <c r="K266" i="2"/>
  <c r="L266" i="2" s="1"/>
  <c r="K267" i="2"/>
  <c r="L267" i="2" s="1"/>
  <c r="K268" i="2"/>
  <c r="L268" i="2" s="1"/>
  <c r="K269" i="2"/>
  <c r="L269" i="2" s="1"/>
  <c r="K270" i="2"/>
  <c r="L270" i="2" s="1"/>
  <c r="K271" i="2"/>
  <c r="L271" i="2" s="1"/>
  <c r="K272" i="2"/>
  <c r="L272" i="2" s="1"/>
  <c r="K273" i="2"/>
  <c r="L273" i="2" s="1"/>
  <c r="K274" i="2"/>
  <c r="L274" i="2" s="1"/>
  <c r="K275" i="2"/>
  <c r="L275" i="2" s="1"/>
  <c r="K276" i="2"/>
  <c r="L276" i="2" s="1"/>
  <c r="K277" i="2"/>
  <c r="L277" i="2" s="1"/>
  <c r="K278" i="2"/>
  <c r="L278" i="2" s="1"/>
  <c r="K279" i="2"/>
  <c r="L279" i="2" s="1"/>
  <c r="K280" i="2"/>
  <c r="L280" i="2" s="1"/>
  <c r="K281" i="2"/>
  <c r="L281" i="2" s="1"/>
  <c r="K282" i="2"/>
  <c r="L282" i="2" s="1"/>
  <c r="K283" i="2"/>
  <c r="L283" i="2" s="1"/>
  <c r="K284" i="2"/>
  <c r="L284" i="2" s="1"/>
  <c r="K285" i="2"/>
  <c r="L285" i="2" s="1"/>
  <c r="K286" i="2"/>
  <c r="L286" i="2" s="1"/>
  <c r="K287" i="2"/>
  <c r="L287" i="2" s="1"/>
  <c r="K288" i="2"/>
  <c r="L288" i="2" s="1"/>
  <c r="K289" i="2"/>
  <c r="L289" i="2" s="1"/>
  <c r="K290" i="2"/>
  <c r="L290" i="2" s="1"/>
  <c r="K291" i="2"/>
  <c r="L291" i="2" s="1"/>
  <c r="K292" i="2"/>
  <c r="L292" i="2" s="1"/>
  <c r="K293" i="2"/>
  <c r="L293" i="2" s="1"/>
  <c r="K294" i="2"/>
  <c r="L294" i="2" s="1"/>
  <c r="K295" i="2"/>
  <c r="L295" i="2" s="1"/>
  <c r="K296" i="2"/>
  <c r="L296" i="2" s="1"/>
  <c r="K297" i="2"/>
  <c r="L297" i="2" s="1"/>
  <c r="K298" i="2"/>
  <c r="L298" i="2" s="1"/>
  <c r="K299" i="2"/>
  <c r="L299" i="2" s="1"/>
  <c r="K300" i="2"/>
  <c r="L300" i="2" s="1"/>
  <c r="K301" i="2"/>
  <c r="L301" i="2" s="1"/>
  <c r="K302" i="2"/>
  <c r="L302" i="2" s="1"/>
  <c r="K303" i="2"/>
  <c r="L303" i="2" s="1"/>
  <c r="K304" i="2"/>
  <c r="L304" i="2" s="1"/>
  <c r="K305" i="2"/>
  <c r="L305" i="2" s="1"/>
  <c r="K306" i="2"/>
  <c r="L306" i="2" s="1"/>
  <c r="K307" i="2"/>
  <c r="L307" i="2" s="1"/>
  <c r="K308" i="2"/>
  <c r="L308" i="2" s="1"/>
  <c r="K309" i="2"/>
  <c r="L309" i="2" s="1"/>
  <c r="K310" i="2"/>
  <c r="L310" i="2" s="1"/>
  <c r="K311" i="2"/>
  <c r="L311" i="2" s="1"/>
  <c r="K312" i="2"/>
  <c r="L312" i="2" s="1"/>
  <c r="K313" i="2"/>
  <c r="L313" i="2" s="1"/>
  <c r="K314" i="2"/>
  <c r="L314" i="2" s="1"/>
  <c r="K315" i="2"/>
  <c r="L315" i="2" s="1"/>
  <c r="K316" i="2"/>
  <c r="L316" i="2" s="1"/>
  <c r="K317" i="2"/>
  <c r="L317" i="2" s="1"/>
  <c r="K318" i="2"/>
  <c r="L318" i="2" s="1"/>
  <c r="K319" i="2"/>
  <c r="L319" i="2" s="1"/>
  <c r="K320" i="2"/>
  <c r="L320" i="2" s="1"/>
  <c r="K321" i="2"/>
  <c r="L321" i="2" s="1"/>
  <c r="K322" i="2"/>
  <c r="L322" i="2" s="1"/>
  <c r="K323" i="2"/>
  <c r="L323" i="2" s="1"/>
  <c r="K324" i="2"/>
  <c r="L324" i="2" s="1"/>
  <c r="K325" i="2"/>
  <c r="L325" i="2" s="1"/>
  <c r="K326" i="2"/>
  <c r="L326" i="2" s="1"/>
  <c r="K327" i="2"/>
  <c r="L327" i="2" s="1"/>
  <c r="K328" i="2"/>
  <c r="L328" i="2" s="1"/>
  <c r="K329" i="2"/>
  <c r="L329" i="2" s="1"/>
  <c r="K330" i="2"/>
  <c r="L330" i="2" s="1"/>
  <c r="K331" i="2"/>
  <c r="L331" i="2" s="1"/>
  <c r="K332" i="2"/>
  <c r="L332" i="2" s="1"/>
  <c r="K333" i="2"/>
  <c r="L333" i="2" s="1"/>
  <c r="K334" i="2"/>
  <c r="L334" i="2" s="1"/>
  <c r="K335" i="2"/>
  <c r="L335" i="2" s="1"/>
  <c r="K336" i="2"/>
  <c r="L336" i="2" s="1"/>
  <c r="K337" i="2"/>
  <c r="L337" i="2" s="1"/>
  <c r="K338" i="2"/>
  <c r="L338" i="2" s="1"/>
  <c r="K339" i="2"/>
  <c r="L339" i="2" s="1"/>
  <c r="K340" i="2"/>
  <c r="L340" i="2" s="1"/>
  <c r="K341" i="2"/>
  <c r="L341" i="2" s="1"/>
  <c r="K342" i="2"/>
  <c r="L342" i="2" s="1"/>
  <c r="K343" i="2"/>
  <c r="L343" i="2" s="1"/>
  <c r="K344" i="2"/>
  <c r="L344" i="2" s="1"/>
  <c r="K345" i="2"/>
  <c r="L345" i="2" s="1"/>
  <c r="K346" i="2"/>
  <c r="L346" i="2" s="1"/>
  <c r="K347" i="2"/>
  <c r="L347" i="2" s="1"/>
  <c r="K348" i="2"/>
  <c r="L348" i="2" s="1"/>
  <c r="K349" i="2"/>
  <c r="L349" i="2" s="1"/>
  <c r="K350" i="2"/>
  <c r="L350" i="2" s="1"/>
  <c r="K351" i="2"/>
  <c r="L351" i="2" s="1"/>
  <c r="K352" i="2"/>
  <c r="L352" i="2" s="1"/>
  <c r="K353" i="2"/>
  <c r="L353" i="2" s="1"/>
  <c r="K354" i="2"/>
  <c r="L354" i="2" s="1"/>
  <c r="K355" i="2"/>
  <c r="L355" i="2" s="1"/>
  <c r="K356" i="2"/>
  <c r="L356" i="2" s="1"/>
  <c r="K357" i="2"/>
  <c r="L357" i="2" s="1"/>
  <c r="K358" i="2"/>
  <c r="L358" i="2" s="1"/>
  <c r="K359" i="2"/>
  <c r="L359" i="2" s="1"/>
  <c r="K360" i="2"/>
  <c r="L360" i="2" s="1"/>
  <c r="K361" i="2"/>
  <c r="L361" i="2" s="1"/>
  <c r="K362" i="2"/>
  <c r="L362" i="2" s="1"/>
  <c r="K363" i="2"/>
  <c r="L363" i="2" s="1"/>
  <c r="K364" i="2"/>
  <c r="L364" i="2" s="1"/>
  <c r="K365" i="2"/>
  <c r="L365" i="2" s="1"/>
  <c r="K366" i="2"/>
  <c r="L366" i="2" s="1"/>
  <c r="K367" i="2"/>
  <c r="L367" i="2" s="1"/>
  <c r="K368" i="2"/>
  <c r="L368" i="2" s="1"/>
  <c r="K369" i="2"/>
  <c r="L369" i="2" s="1"/>
  <c r="K370" i="2"/>
  <c r="L370" i="2" s="1"/>
  <c r="K371" i="2"/>
  <c r="L371" i="2" s="1"/>
  <c r="K372" i="2"/>
  <c r="L372" i="2" s="1"/>
  <c r="K373" i="2"/>
  <c r="L373" i="2" s="1"/>
  <c r="K374" i="2"/>
  <c r="L374" i="2" s="1"/>
  <c r="K375" i="2"/>
  <c r="L375" i="2" s="1"/>
  <c r="K376" i="2"/>
  <c r="L376" i="2" s="1"/>
  <c r="K377" i="2"/>
  <c r="L377" i="2" s="1"/>
  <c r="K378" i="2"/>
  <c r="L378" i="2" s="1"/>
  <c r="K379" i="2"/>
  <c r="L379" i="2" s="1"/>
  <c r="K380" i="2"/>
  <c r="L380" i="2" s="1"/>
  <c r="K381" i="2"/>
  <c r="L381" i="2" s="1"/>
  <c r="K382" i="2"/>
  <c r="L382" i="2" s="1"/>
  <c r="K383" i="2"/>
  <c r="L383" i="2" s="1"/>
  <c r="K384" i="2"/>
  <c r="L384" i="2" s="1"/>
  <c r="K385" i="2"/>
  <c r="L385" i="2" s="1"/>
  <c r="K386" i="2"/>
  <c r="L386" i="2" s="1"/>
  <c r="K387" i="2"/>
  <c r="L387" i="2" s="1"/>
  <c r="K388" i="2"/>
  <c r="L388" i="2" s="1"/>
  <c r="K389" i="2"/>
  <c r="L389" i="2" s="1"/>
  <c r="K390" i="2"/>
  <c r="L390" i="2" s="1"/>
  <c r="K391" i="2"/>
  <c r="L391" i="2" s="1"/>
  <c r="K392" i="2"/>
  <c r="L392" i="2" s="1"/>
  <c r="K393" i="2"/>
  <c r="L393" i="2" s="1"/>
  <c r="K394" i="2"/>
  <c r="L394" i="2" s="1"/>
  <c r="K395" i="2"/>
  <c r="L395" i="2" s="1"/>
  <c r="K396" i="2"/>
  <c r="L396" i="2" s="1"/>
  <c r="K397" i="2"/>
  <c r="L397" i="2" s="1"/>
  <c r="K398" i="2"/>
  <c r="L398" i="2" s="1"/>
  <c r="K399" i="2"/>
  <c r="L399" i="2" s="1"/>
  <c r="K400" i="2"/>
  <c r="L400" i="2" s="1"/>
  <c r="K401" i="2"/>
  <c r="L401" i="2" s="1"/>
  <c r="K402" i="2"/>
  <c r="L402" i="2" s="1"/>
  <c r="K403" i="2"/>
  <c r="L403" i="2" s="1"/>
  <c r="K404" i="2"/>
  <c r="L404" i="2" s="1"/>
  <c r="K405" i="2"/>
  <c r="L405" i="2" s="1"/>
  <c r="K406" i="2"/>
  <c r="L406" i="2" s="1"/>
  <c r="K407" i="2"/>
  <c r="L407" i="2" s="1"/>
  <c r="K408" i="2"/>
  <c r="L408" i="2" s="1"/>
  <c r="K409" i="2"/>
  <c r="L409" i="2" s="1"/>
  <c r="K410" i="2"/>
  <c r="L410" i="2" s="1"/>
  <c r="K411" i="2"/>
  <c r="L411" i="2" s="1"/>
  <c r="K412" i="2"/>
  <c r="L412" i="2" s="1"/>
  <c r="K413" i="2"/>
  <c r="L413" i="2" s="1"/>
  <c r="K414" i="2"/>
  <c r="L414" i="2" s="1"/>
  <c r="K415" i="2"/>
  <c r="L415" i="2" s="1"/>
  <c r="K416" i="2"/>
  <c r="L416" i="2" s="1"/>
  <c r="K417" i="2"/>
  <c r="L417" i="2" s="1"/>
  <c r="K418" i="2"/>
  <c r="L418" i="2" s="1"/>
  <c r="K419" i="2"/>
  <c r="L419" i="2" s="1"/>
  <c r="K420" i="2"/>
  <c r="L420" i="2" s="1"/>
  <c r="K421" i="2"/>
  <c r="L421" i="2" s="1"/>
  <c r="K422" i="2"/>
  <c r="L422" i="2" s="1"/>
  <c r="K423" i="2"/>
  <c r="L423" i="2" s="1"/>
  <c r="K424" i="2"/>
  <c r="L424" i="2" s="1"/>
  <c r="K425" i="2"/>
  <c r="L425" i="2" s="1"/>
  <c r="K426" i="2"/>
  <c r="L426" i="2" s="1"/>
  <c r="K427" i="2"/>
  <c r="L427" i="2" s="1"/>
  <c r="K428" i="2"/>
  <c r="L428" i="2" s="1"/>
  <c r="K429" i="2"/>
  <c r="L429" i="2" s="1"/>
  <c r="K430" i="2"/>
  <c r="L430" i="2" s="1"/>
  <c r="K431" i="2"/>
  <c r="L431" i="2" s="1"/>
  <c r="K432" i="2"/>
  <c r="L432" i="2" s="1"/>
  <c r="K433" i="2"/>
  <c r="L433" i="2" s="1"/>
  <c r="K434" i="2"/>
  <c r="L434" i="2" s="1"/>
  <c r="K435" i="2"/>
  <c r="L435" i="2" s="1"/>
  <c r="K436" i="2"/>
  <c r="L436" i="2" s="1"/>
  <c r="K437" i="2"/>
  <c r="L437" i="2" s="1"/>
  <c r="K438" i="2"/>
  <c r="L438" i="2" s="1"/>
  <c r="K439" i="2"/>
  <c r="L439" i="2" s="1"/>
  <c r="K440" i="2"/>
  <c r="L440" i="2" s="1"/>
  <c r="K441" i="2"/>
  <c r="L441" i="2" s="1"/>
  <c r="K442" i="2"/>
  <c r="L442" i="2" s="1"/>
  <c r="K443" i="2"/>
  <c r="L443" i="2" s="1"/>
  <c r="K444" i="2"/>
  <c r="L444" i="2" s="1"/>
  <c r="K445" i="2"/>
  <c r="L445" i="2" s="1"/>
  <c r="K446" i="2"/>
  <c r="L446" i="2" s="1"/>
  <c r="K447" i="2"/>
  <c r="L447" i="2" s="1"/>
  <c r="K448" i="2"/>
  <c r="L448" i="2" s="1"/>
  <c r="K449" i="2"/>
  <c r="L449" i="2" s="1"/>
  <c r="K450" i="2"/>
  <c r="L450" i="2" s="1"/>
  <c r="K451" i="2"/>
  <c r="L451" i="2" s="1"/>
  <c r="K452" i="2"/>
  <c r="L452" i="2" s="1"/>
  <c r="K453" i="2"/>
  <c r="L453" i="2" s="1"/>
  <c r="K454" i="2"/>
  <c r="L454" i="2" s="1"/>
  <c r="K455" i="2"/>
  <c r="L455" i="2" s="1"/>
  <c r="K456" i="2"/>
  <c r="L456" i="2" s="1"/>
  <c r="K457" i="2"/>
  <c r="L457" i="2" s="1"/>
  <c r="K458" i="2"/>
  <c r="L458" i="2" s="1"/>
  <c r="K459" i="2"/>
  <c r="L459" i="2" s="1"/>
  <c r="K460" i="2"/>
  <c r="L460" i="2" s="1"/>
  <c r="K461" i="2"/>
  <c r="L461" i="2" s="1"/>
  <c r="K462" i="2"/>
  <c r="L462" i="2" s="1"/>
  <c r="K463" i="2"/>
  <c r="L463" i="2" s="1"/>
  <c r="K464" i="2"/>
  <c r="L464" i="2" s="1"/>
  <c r="K465" i="2"/>
  <c r="L465" i="2" s="1"/>
  <c r="K466" i="2"/>
  <c r="L466" i="2" s="1"/>
  <c r="K467" i="2"/>
  <c r="L467" i="2" s="1"/>
  <c r="K468" i="2"/>
  <c r="L468" i="2" s="1"/>
  <c r="K469" i="2"/>
  <c r="L469" i="2" s="1"/>
  <c r="K470" i="2"/>
  <c r="L470" i="2" s="1"/>
  <c r="K471" i="2"/>
  <c r="L471" i="2" s="1"/>
  <c r="K472" i="2"/>
  <c r="L472" i="2" s="1"/>
  <c r="K473" i="2"/>
  <c r="L473" i="2" s="1"/>
  <c r="K474" i="2"/>
  <c r="L474" i="2" s="1"/>
  <c r="K475" i="2"/>
  <c r="L475" i="2" s="1"/>
  <c r="K476" i="2"/>
  <c r="L476" i="2" s="1"/>
  <c r="K477" i="2"/>
  <c r="L477" i="2" s="1"/>
  <c r="K478" i="2"/>
  <c r="L478" i="2" s="1"/>
  <c r="K479" i="2"/>
  <c r="L479" i="2" s="1"/>
  <c r="K480" i="2"/>
  <c r="L480" i="2" s="1"/>
  <c r="K481" i="2"/>
  <c r="L481" i="2" s="1"/>
  <c r="K482" i="2"/>
  <c r="L482" i="2" s="1"/>
  <c r="K483" i="2"/>
  <c r="L483" i="2" s="1"/>
  <c r="K484" i="2"/>
  <c r="L484" i="2" s="1"/>
  <c r="K485" i="2"/>
  <c r="L485" i="2" s="1"/>
  <c r="K486" i="2"/>
  <c r="L486" i="2" s="1"/>
  <c r="K487" i="2"/>
  <c r="L487" i="2" s="1"/>
  <c r="K488" i="2"/>
  <c r="L488" i="2" s="1"/>
  <c r="K489" i="2"/>
  <c r="L489" i="2" s="1"/>
  <c r="K490" i="2"/>
  <c r="L490" i="2" s="1"/>
  <c r="K491" i="2"/>
  <c r="L491" i="2" s="1"/>
  <c r="K492" i="2"/>
  <c r="L492" i="2" s="1"/>
  <c r="K493" i="2"/>
  <c r="L493" i="2" s="1"/>
  <c r="K494" i="2"/>
  <c r="L494" i="2" s="1"/>
  <c r="K495" i="2"/>
  <c r="L495" i="2" s="1"/>
  <c r="K496" i="2"/>
  <c r="L496" i="2" s="1"/>
  <c r="K497" i="2"/>
  <c r="L497" i="2" s="1"/>
  <c r="K498" i="2"/>
  <c r="L498" i="2" s="1"/>
  <c r="K499" i="2"/>
  <c r="L499" i="2" s="1"/>
  <c r="K500" i="2"/>
  <c r="L500" i="2" s="1"/>
  <c r="K501" i="2"/>
  <c r="L501" i="2" s="1"/>
  <c r="K502" i="2"/>
  <c r="L502" i="2" s="1"/>
  <c r="K503" i="2"/>
  <c r="L503" i="2" s="1"/>
  <c r="K504" i="2"/>
  <c r="L504" i="2" s="1"/>
  <c r="K505" i="2"/>
  <c r="L505" i="2" s="1"/>
  <c r="K506" i="2"/>
  <c r="L506" i="2" s="1"/>
  <c r="K507" i="2"/>
  <c r="L507" i="2" s="1"/>
  <c r="K508" i="2"/>
  <c r="L508" i="2" s="1"/>
  <c r="K509" i="2"/>
  <c r="L509" i="2" s="1"/>
  <c r="K510" i="2"/>
  <c r="L510" i="2" s="1"/>
  <c r="K511" i="2"/>
  <c r="L511" i="2" s="1"/>
  <c r="K512" i="2"/>
  <c r="L512" i="2" s="1"/>
  <c r="K513" i="2"/>
  <c r="L513" i="2" s="1"/>
  <c r="K514" i="2"/>
  <c r="L514" i="2" s="1"/>
  <c r="K515" i="2"/>
  <c r="L515" i="2" s="1"/>
  <c r="K516" i="2"/>
  <c r="L516" i="2" s="1"/>
  <c r="K517" i="2"/>
  <c r="L517" i="2" s="1"/>
  <c r="K518" i="2"/>
  <c r="L518" i="2" s="1"/>
  <c r="K519" i="2"/>
  <c r="L519" i="2" s="1"/>
  <c r="K520" i="2"/>
  <c r="L520" i="2" s="1"/>
  <c r="K521" i="2"/>
  <c r="L521" i="2" s="1"/>
  <c r="K522" i="2"/>
  <c r="L522" i="2" s="1"/>
  <c r="K523" i="2"/>
  <c r="L523" i="2" s="1"/>
  <c r="K524" i="2"/>
  <c r="L524" i="2" s="1"/>
  <c r="K525" i="2"/>
  <c r="L525" i="2" s="1"/>
  <c r="K526" i="2"/>
  <c r="L526" i="2" s="1"/>
  <c r="K527" i="2"/>
  <c r="L527" i="2" s="1"/>
  <c r="K528" i="2"/>
  <c r="L528" i="2" s="1"/>
  <c r="K529" i="2"/>
  <c r="L529" i="2" s="1"/>
  <c r="K530" i="2"/>
  <c r="L530" i="2" s="1"/>
  <c r="K531" i="2"/>
  <c r="L531" i="2" s="1"/>
  <c r="K532" i="2"/>
  <c r="L532" i="2" s="1"/>
  <c r="K533" i="2"/>
  <c r="L533" i="2" s="1"/>
  <c r="K534" i="2"/>
  <c r="L534" i="2" s="1"/>
  <c r="K535" i="2"/>
  <c r="L535" i="2" s="1"/>
  <c r="K536" i="2"/>
  <c r="L536" i="2" s="1"/>
  <c r="K537" i="2"/>
  <c r="L537" i="2" s="1"/>
  <c r="K538" i="2"/>
  <c r="L538" i="2" s="1"/>
  <c r="K539" i="2"/>
  <c r="L539" i="2" s="1"/>
  <c r="K540" i="2"/>
  <c r="L540" i="2" s="1"/>
  <c r="K541" i="2"/>
  <c r="L541" i="2" s="1"/>
  <c r="K542" i="2"/>
  <c r="L542" i="2" s="1"/>
  <c r="K543" i="2"/>
  <c r="L543" i="2" s="1"/>
  <c r="K544" i="2"/>
  <c r="L544" i="2" s="1"/>
  <c r="K545" i="2"/>
  <c r="L545" i="2" s="1"/>
  <c r="K546" i="2"/>
  <c r="L546" i="2" s="1"/>
  <c r="K547" i="2"/>
  <c r="L547" i="2" s="1"/>
  <c r="K548" i="2"/>
  <c r="L548" i="2" s="1"/>
  <c r="K549" i="2"/>
  <c r="L549" i="2" s="1"/>
  <c r="K550" i="2"/>
  <c r="L550" i="2" s="1"/>
  <c r="K551" i="2"/>
  <c r="L551" i="2" s="1"/>
  <c r="K552" i="2"/>
  <c r="L552" i="2" s="1"/>
  <c r="K553" i="2"/>
  <c r="L553" i="2" s="1"/>
  <c r="K554" i="2"/>
  <c r="L554" i="2" s="1"/>
  <c r="K555" i="2"/>
  <c r="L555" i="2" s="1"/>
  <c r="K556" i="2"/>
  <c r="L556" i="2" s="1"/>
  <c r="K557" i="2"/>
  <c r="L557" i="2" s="1"/>
  <c r="K558" i="2"/>
  <c r="L558" i="2" s="1"/>
  <c r="K559" i="2"/>
  <c r="L559" i="2" s="1"/>
  <c r="K560" i="2"/>
  <c r="L560" i="2" s="1"/>
  <c r="K561" i="2"/>
  <c r="L561" i="2" s="1"/>
  <c r="K562" i="2"/>
  <c r="L562" i="2" s="1"/>
  <c r="K563" i="2"/>
  <c r="L563" i="2" s="1"/>
  <c r="K564" i="2"/>
  <c r="L564" i="2" s="1"/>
  <c r="K565" i="2"/>
  <c r="L565" i="2" s="1"/>
  <c r="K566" i="2"/>
  <c r="L566" i="2" s="1"/>
  <c r="K567" i="2"/>
  <c r="L567" i="2" s="1"/>
  <c r="K568" i="2"/>
  <c r="L568" i="2" s="1"/>
  <c r="K569" i="2"/>
  <c r="L569" i="2" s="1"/>
  <c r="K570" i="2"/>
  <c r="L570" i="2" s="1"/>
  <c r="K571" i="2"/>
  <c r="L571" i="2" s="1"/>
  <c r="K572" i="2"/>
  <c r="L572" i="2" s="1"/>
  <c r="K573" i="2"/>
  <c r="L573" i="2" s="1"/>
  <c r="K574" i="2"/>
  <c r="L574" i="2" s="1"/>
  <c r="K575" i="2"/>
  <c r="L575" i="2" s="1"/>
  <c r="K576" i="2"/>
  <c r="L576" i="2" s="1"/>
  <c r="K577" i="2"/>
  <c r="L577" i="2" s="1"/>
  <c r="K578" i="2"/>
  <c r="L578" i="2" s="1"/>
  <c r="K579" i="2"/>
  <c r="L579" i="2" s="1"/>
  <c r="K580" i="2"/>
  <c r="L580" i="2" s="1"/>
  <c r="K581" i="2"/>
  <c r="L581" i="2" s="1"/>
  <c r="K582" i="2"/>
  <c r="L582" i="2" s="1"/>
  <c r="K583" i="2"/>
  <c r="L583" i="2" s="1"/>
  <c r="K584" i="2"/>
  <c r="L584" i="2" s="1"/>
  <c r="K585" i="2"/>
  <c r="L585" i="2" s="1"/>
  <c r="K586" i="2"/>
  <c r="L586" i="2" s="1"/>
  <c r="K587" i="2"/>
  <c r="L587" i="2" s="1"/>
  <c r="K588" i="2"/>
  <c r="L588" i="2" s="1"/>
  <c r="K589" i="2"/>
  <c r="L589" i="2" s="1"/>
  <c r="K590" i="2"/>
  <c r="L590" i="2" s="1"/>
  <c r="K591" i="2"/>
  <c r="L591" i="2" s="1"/>
  <c r="K592" i="2"/>
  <c r="L592" i="2" s="1"/>
  <c r="K593" i="2"/>
  <c r="L593" i="2" s="1"/>
  <c r="K594" i="2"/>
  <c r="L594" i="2" s="1"/>
  <c r="K595" i="2"/>
  <c r="L595" i="2" s="1"/>
  <c r="K596" i="2"/>
  <c r="L596" i="2" s="1"/>
  <c r="K597" i="2"/>
  <c r="L597" i="2" s="1"/>
  <c r="K598" i="2"/>
  <c r="L598" i="2" s="1"/>
  <c r="K599" i="2"/>
  <c r="L599" i="2" s="1"/>
  <c r="K600" i="2"/>
  <c r="L600" i="2" s="1"/>
  <c r="K601" i="2"/>
  <c r="L601" i="2" s="1"/>
  <c r="K602" i="2"/>
  <c r="L602" i="2" s="1"/>
  <c r="K603" i="2"/>
  <c r="L603" i="2" s="1"/>
  <c r="K604" i="2"/>
  <c r="L604" i="2" s="1"/>
  <c r="K605" i="2"/>
  <c r="L605" i="2" s="1"/>
  <c r="K606" i="2"/>
  <c r="L606" i="2" s="1"/>
  <c r="K607" i="2"/>
  <c r="L607" i="2" s="1"/>
  <c r="K608" i="2"/>
  <c r="L608" i="2" s="1"/>
  <c r="K609" i="2"/>
  <c r="L609" i="2" s="1"/>
  <c r="K610" i="2"/>
  <c r="L610" i="2" s="1"/>
  <c r="K611" i="2"/>
  <c r="L611" i="2" s="1"/>
  <c r="K612" i="2"/>
  <c r="L612" i="2" s="1"/>
  <c r="K613" i="2"/>
  <c r="L613" i="2" s="1"/>
  <c r="K614" i="2"/>
  <c r="L614" i="2" s="1"/>
  <c r="K615" i="2"/>
  <c r="L615" i="2" s="1"/>
  <c r="K616" i="2"/>
  <c r="L616" i="2" s="1"/>
  <c r="K617" i="2"/>
  <c r="L617" i="2" s="1"/>
  <c r="K618" i="2"/>
  <c r="L618" i="2" s="1"/>
  <c r="K619" i="2"/>
  <c r="L619" i="2" s="1"/>
  <c r="K620" i="2"/>
  <c r="L620" i="2" s="1"/>
  <c r="K621" i="2"/>
  <c r="L621" i="2" s="1"/>
  <c r="K622" i="2"/>
  <c r="L622" i="2" s="1"/>
  <c r="K623" i="2"/>
  <c r="L623" i="2" s="1"/>
  <c r="K624" i="2"/>
  <c r="L624" i="2" s="1"/>
  <c r="K625" i="2"/>
  <c r="L625" i="2" s="1"/>
  <c r="K626" i="2"/>
  <c r="L626" i="2" s="1"/>
  <c r="K627" i="2"/>
  <c r="L627" i="2" s="1"/>
  <c r="K628" i="2"/>
  <c r="L628" i="2" s="1"/>
  <c r="K629" i="2"/>
  <c r="L629" i="2" s="1"/>
  <c r="K630" i="2"/>
  <c r="L630" i="2" s="1"/>
  <c r="K631" i="2"/>
  <c r="L631" i="2" s="1"/>
  <c r="K632" i="2"/>
  <c r="L632" i="2" s="1"/>
  <c r="K633" i="2"/>
  <c r="L633" i="2" s="1"/>
  <c r="K634" i="2"/>
  <c r="L634" i="2" s="1"/>
  <c r="K635" i="2"/>
  <c r="L635" i="2" s="1"/>
  <c r="K636" i="2"/>
  <c r="L636" i="2" s="1"/>
  <c r="K637" i="2"/>
  <c r="L637" i="2" s="1"/>
  <c r="K638" i="2"/>
  <c r="L638" i="2" s="1"/>
  <c r="K639" i="2"/>
  <c r="L639" i="2" s="1"/>
  <c r="K640" i="2"/>
  <c r="L640" i="2" s="1"/>
  <c r="K641" i="2"/>
  <c r="L641" i="2" s="1"/>
  <c r="K642" i="2"/>
  <c r="L642" i="2" s="1"/>
  <c r="K643" i="2"/>
  <c r="L643" i="2" s="1"/>
  <c r="K644" i="2"/>
  <c r="L644" i="2" s="1"/>
  <c r="K645" i="2"/>
  <c r="L645" i="2" s="1"/>
  <c r="K646" i="2"/>
  <c r="L646" i="2" s="1"/>
  <c r="K647" i="2"/>
  <c r="L647" i="2" s="1"/>
  <c r="K648" i="2"/>
  <c r="L648" i="2" s="1"/>
  <c r="K649" i="2"/>
  <c r="L649" i="2" s="1"/>
  <c r="K650" i="2"/>
  <c r="L650" i="2" s="1"/>
  <c r="K651" i="2"/>
  <c r="L651" i="2" s="1"/>
  <c r="K652" i="2"/>
  <c r="L652" i="2" s="1"/>
  <c r="K653" i="2"/>
  <c r="L653" i="2" s="1"/>
  <c r="K654" i="2"/>
  <c r="L654" i="2" s="1"/>
  <c r="K655" i="2"/>
  <c r="L655" i="2" s="1"/>
  <c r="K656" i="2"/>
  <c r="L656" i="2" s="1"/>
  <c r="K657" i="2"/>
  <c r="L657" i="2" s="1"/>
  <c r="K658" i="2"/>
  <c r="L658" i="2" s="1"/>
  <c r="K659" i="2"/>
  <c r="L659" i="2" s="1"/>
  <c r="K660" i="2"/>
  <c r="L660" i="2" s="1"/>
  <c r="K661" i="2"/>
  <c r="L661" i="2" s="1"/>
  <c r="K662" i="2"/>
  <c r="L662" i="2" s="1"/>
  <c r="K663" i="2"/>
  <c r="L663" i="2" s="1"/>
  <c r="K664" i="2"/>
  <c r="L664" i="2" s="1"/>
  <c r="K665" i="2"/>
  <c r="L665" i="2" s="1"/>
  <c r="K666" i="2"/>
  <c r="L666" i="2" s="1"/>
  <c r="K667" i="2"/>
  <c r="L667" i="2" s="1"/>
  <c r="K668" i="2"/>
  <c r="L668" i="2" s="1"/>
  <c r="K669" i="2"/>
  <c r="L669" i="2" s="1"/>
  <c r="K670" i="2"/>
  <c r="L670" i="2" s="1"/>
  <c r="K671" i="2"/>
  <c r="L671" i="2" s="1"/>
  <c r="K672" i="2"/>
  <c r="L672" i="2" s="1"/>
  <c r="K673" i="2"/>
  <c r="L673" i="2" s="1"/>
  <c r="K674" i="2"/>
  <c r="L674" i="2" s="1"/>
  <c r="K675" i="2"/>
  <c r="L675" i="2" s="1"/>
  <c r="K676" i="2"/>
  <c r="L676" i="2" s="1"/>
  <c r="K677" i="2"/>
  <c r="L677" i="2" s="1"/>
  <c r="K678" i="2"/>
  <c r="L678" i="2" s="1"/>
  <c r="K679" i="2"/>
  <c r="L679" i="2" s="1"/>
  <c r="K680" i="2"/>
  <c r="L680" i="2" s="1"/>
  <c r="K681" i="2"/>
  <c r="L681" i="2" s="1"/>
  <c r="K682" i="2"/>
  <c r="L682" i="2" s="1"/>
  <c r="K683" i="2"/>
  <c r="L683" i="2" s="1"/>
  <c r="K684" i="2"/>
  <c r="L684" i="2" s="1"/>
  <c r="K685" i="2"/>
  <c r="L685" i="2" s="1"/>
  <c r="K686" i="2"/>
  <c r="L686" i="2" s="1"/>
  <c r="K687" i="2"/>
  <c r="L687" i="2" s="1"/>
  <c r="K688" i="2"/>
  <c r="L688" i="2" s="1"/>
  <c r="K689" i="2"/>
  <c r="L689" i="2" s="1"/>
  <c r="K690" i="2"/>
  <c r="L690" i="2" s="1"/>
  <c r="K691" i="2"/>
  <c r="L691" i="2" s="1"/>
  <c r="K692" i="2"/>
  <c r="L692" i="2" s="1"/>
  <c r="K693" i="2"/>
  <c r="L693" i="2" s="1"/>
  <c r="K694" i="2"/>
  <c r="L694" i="2" s="1"/>
  <c r="K695" i="2"/>
  <c r="L695" i="2" s="1"/>
  <c r="K696" i="2"/>
  <c r="L696" i="2" s="1"/>
  <c r="K697" i="2"/>
  <c r="L697" i="2" s="1"/>
  <c r="K698" i="2"/>
  <c r="L698" i="2" s="1"/>
  <c r="K699" i="2"/>
  <c r="L699" i="2" s="1"/>
  <c r="K700" i="2"/>
  <c r="L700" i="2" s="1"/>
  <c r="K701" i="2"/>
  <c r="L701" i="2" s="1"/>
  <c r="K702" i="2"/>
  <c r="L702" i="2" s="1"/>
  <c r="K703" i="2"/>
  <c r="L703" i="2" s="1"/>
  <c r="K704" i="2"/>
  <c r="L704" i="2" s="1"/>
  <c r="K705" i="2"/>
  <c r="L705" i="2" s="1"/>
  <c r="K706" i="2"/>
  <c r="L706" i="2" s="1"/>
  <c r="K707" i="2"/>
  <c r="L707" i="2" s="1"/>
  <c r="K708" i="2"/>
  <c r="L708" i="2" s="1"/>
  <c r="K709" i="2"/>
  <c r="L709" i="2" s="1"/>
  <c r="K710" i="2"/>
  <c r="L710" i="2" s="1"/>
  <c r="K711" i="2"/>
  <c r="L711" i="2" s="1"/>
  <c r="K712" i="2"/>
  <c r="L712" i="2" s="1"/>
  <c r="K713" i="2"/>
  <c r="L713" i="2" s="1"/>
  <c r="K714" i="2"/>
  <c r="L714" i="2" s="1"/>
  <c r="K715" i="2"/>
  <c r="L715" i="2" s="1"/>
  <c r="K716" i="2"/>
  <c r="L716" i="2" s="1"/>
  <c r="K717" i="2"/>
  <c r="L717" i="2" s="1"/>
  <c r="K718" i="2"/>
  <c r="L718" i="2" s="1"/>
  <c r="K719" i="2"/>
  <c r="L719" i="2" s="1"/>
  <c r="K720" i="2"/>
  <c r="L720" i="2" s="1"/>
  <c r="K721" i="2"/>
  <c r="L721" i="2" s="1"/>
  <c r="K722" i="2"/>
  <c r="L722" i="2" s="1"/>
  <c r="K723" i="2"/>
  <c r="L723" i="2" s="1"/>
  <c r="K724" i="2"/>
  <c r="L724" i="2" s="1"/>
  <c r="K725" i="2"/>
  <c r="L725" i="2" s="1"/>
  <c r="K726" i="2"/>
  <c r="L726" i="2" s="1"/>
  <c r="K727" i="2"/>
  <c r="L727" i="2" s="1"/>
  <c r="K728" i="2"/>
  <c r="L728" i="2" s="1"/>
  <c r="K729" i="2"/>
  <c r="L729" i="2" s="1"/>
  <c r="K730" i="2"/>
  <c r="L730" i="2" s="1"/>
  <c r="K731" i="2"/>
  <c r="L731" i="2" s="1"/>
  <c r="K732" i="2"/>
  <c r="L732" i="2" s="1"/>
  <c r="K733" i="2"/>
  <c r="L733" i="2" s="1"/>
  <c r="K734" i="2"/>
  <c r="L734" i="2" s="1"/>
  <c r="K735" i="2"/>
  <c r="L735" i="2" s="1"/>
  <c r="K736" i="2"/>
  <c r="L736" i="2" s="1"/>
  <c r="K737" i="2"/>
  <c r="L737" i="2" s="1"/>
  <c r="K738" i="2"/>
  <c r="L738" i="2" s="1"/>
  <c r="K739" i="2"/>
  <c r="L739" i="2" s="1"/>
  <c r="K740" i="2"/>
  <c r="L740" i="2" s="1"/>
  <c r="K741" i="2"/>
  <c r="L741" i="2" s="1"/>
  <c r="K742" i="2"/>
  <c r="L742" i="2" s="1"/>
  <c r="K743" i="2"/>
  <c r="L743" i="2" s="1"/>
  <c r="K744" i="2"/>
  <c r="L744" i="2" s="1"/>
  <c r="K745" i="2"/>
  <c r="L745" i="2" s="1"/>
  <c r="K746" i="2"/>
  <c r="L746" i="2" s="1"/>
  <c r="K747" i="2"/>
  <c r="L747" i="2" s="1"/>
  <c r="K748" i="2"/>
  <c r="L748" i="2" s="1"/>
  <c r="K749" i="2"/>
  <c r="L749" i="2" s="1"/>
  <c r="K750" i="2"/>
  <c r="L750" i="2" s="1"/>
  <c r="K751" i="2"/>
  <c r="L751" i="2" s="1"/>
  <c r="K752" i="2"/>
  <c r="L752" i="2" s="1"/>
  <c r="K753" i="2"/>
  <c r="L753" i="2" s="1"/>
  <c r="K754" i="2"/>
  <c r="L754" i="2" s="1"/>
  <c r="K755" i="2"/>
  <c r="L755" i="2" s="1"/>
  <c r="K756" i="2"/>
  <c r="L756" i="2" s="1"/>
  <c r="K757" i="2"/>
  <c r="L757" i="2" s="1"/>
  <c r="K758" i="2"/>
  <c r="L758" i="2" s="1"/>
  <c r="K759" i="2"/>
  <c r="L759" i="2" s="1"/>
  <c r="K760" i="2"/>
  <c r="L760" i="2" s="1"/>
  <c r="K761" i="2"/>
  <c r="L761" i="2" s="1"/>
  <c r="K762" i="2"/>
  <c r="L762" i="2" s="1"/>
  <c r="K763" i="2"/>
  <c r="L763" i="2" s="1"/>
  <c r="K764" i="2"/>
  <c r="L764" i="2" s="1"/>
  <c r="K765" i="2"/>
  <c r="L765" i="2" s="1"/>
  <c r="K766" i="2"/>
  <c r="L766" i="2" s="1"/>
  <c r="K767" i="2"/>
  <c r="L767" i="2" s="1"/>
  <c r="K768" i="2"/>
  <c r="L768" i="2" s="1"/>
  <c r="K769" i="2"/>
  <c r="L769" i="2" s="1"/>
  <c r="K770" i="2"/>
  <c r="L770" i="2" s="1"/>
  <c r="K771" i="2"/>
  <c r="L771" i="2" s="1"/>
  <c r="K772" i="2"/>
  <c r="L772" i="2" s="1"/>
  <c r="K773" i="2"/>
  <c r="L773" i="2" s="1"/>
  <c r="K774" i="2"/>
  <c r="L774" i="2" s="1"/>
  <c r="K775" i="2"/>
  <c r="L775" i="2" s="1"/>
  <c r="K776" i="2"/>
  <c r="L776" i="2" s="1"/>
  <c r="K777" i="2"/>
  <c r="L777" i="2" s="1"/>
  <c r="K778" i="2"/>
  <c r="L778" i="2" s="1"/>
  <c r="K779" i="2"/>
  <c r="L779" i="2" s="1"/>
  <c r="K780" i="2"/>
  <c r="L780" i="2" s="1"/>
  <c r="K781" i="2"/>
  <c r="L781" i="2" s="1"/>
  <c r="K782" i="2"/>
  <c r="L782" i="2" s="1"/>
  <c r="K783" i="2"/>
  <c r="L783" i="2" s="1"/>
  <c r="K784" i="2"/>
  <c r="L784" i="2" s="1"/>
  <c r="K785" i="2"/>
  <c r="L785" i="2" s="1"/>
  <c r="K786" i="2"/>
  <c r="L786" i="2" s="1"/>
  <c r="K787" i="2"/>
  <c r="L787" i="2" s="1"/>
  <c r="K788" i="2"/>
  <c r="L788" i="2" s="1"/>
  <c r="K789" i="2"/>
  <c r="L789" i="2" s="1"/>
  <c r="K790" i="2"/>
  <c r="L790" i="2" s="1"/>
  <c r="K791" i="2"/>
  <c r="L791" i="2" s="1"/>
  <c r="K792" i="2"/>
  <c r="L792" i="2" s="1"/>
  <c r="K793" i="2"/>
  <c r="L793" i="2" s="1"/>
  <c r="K794" i="2"/>
  <c r="L794" i="2" s="1"/>
  <c r="K795" i="2"/>
  <c r="L795" i="2" s="1"/>
  <c r="K796" i="2"/>
  <c r="L796" i="2" s="1"/>
  <c r="K797" i="2"/>
  <c r="L797" i="2" s="1"/>
  <c r="K798" i="2"/>
  <c r="L798" i="2" s="1"/>
  <c r="K799" i="2"/>
  <c r="L799" i="2" s="1"/>
  <c r="K800" i="2"/>
  <c r="L800" i="2" s="1"/>
  <c r="K801" i="2"/>
  <c r="L801" i="2" s="1"/>
  <c r="K802" i="2"/>
  <c r="L802" i="2" s="1"/>
  <c r="K803" i="2"/>
  <c r="L803" i="2" s="1"/>
  <c r="K804" i="2"/>
  <c r="L804" i="2" s="1"/>
  <c r="K805" i="2"/>
  <c r="L805" i="2" s="1"/>
  <c r="K806" i="2"/>
  <c r="L806" i="2" s="1"/>
  <c r="K807" i="2"/>
  <c r="L807" i="2" s="1"/>
  <c r="K808" i="2"/>
  <c r="L808" i="2" s="1"/>
  <c r="K809" i="2"/>
  <c r="L809" i="2" s="1"/>
  <c r="K810" i="2"/>
  <c r="L810" i="2" s="1"/>
  <c r="K811" i="2"/>
  <c r="L811" i="2" s="1"/>
  <c r="K812" i="2"/>
  <c r="L812" i="2" s="1"/>
  <c r="K813" i="2"/>
  <c r="L813" i="2" s="1"/>
  <c r="K814" i="2"/>
  <c r="L814" i="2" s="1"/>
  <c r="K815" i="2"/>
  <c r="L815" i="2" s="1"/>
  <c r="K816" i="2"/>
  <c r="L816" i="2" s="1"/>
  <c r="K817" i="2"/>
  <c r="L817" i="2" s="1"/>
  <c r="K818" i="2"/>
  <c r="L818" i="2" s="1"/>
  <c r="K819" i="2"/>
  <c r="L819" i="2" s="1"/>
  <c r="K820" i="2"/>
  <c r="L820" i="2" s="1"/>
  <c r="K821" i="2"/>
  <c r="L821" i="2" s="1"/>
  <c r="K822" i="2"/>
  <c r="L822" i="2" s="1"/>
  <c r="K823" i="2"/>
  <c r="L823" i="2" s="1"/>
  <c r="K824" i="2"/>
  <c r="L824" i="2" s="1"/>
  <c r="K825" i="2"/>
  <c r="L825" i="2" s="1"/>
  <c r="K826" i="2"/>
  <c r="L826" i="2" s="1"/>
  <c r="K827" i="2"/>
  <c r="L827" i="2" s="1"/>
  <c r="K828" i="2"/>
  <c r="L828" i="2" s="1"/>
  <c r="K829" i="2"/>
  <c r="L829" i="2" s="1"/>
  <c r="K830" i="2"/>
  <c r="L830" i="2" s="1"/>
  <c r="K831" i="2"/>
  <c r="L831" i="2" s="1"/>
  <c r="K832" i="2"/>
  <c r="L832" i="2" s="1"/>
  <c r="K833" i="2"/>
  <c r="L833" i="2" s="1"/>
  <c r="K834" i="2"/>
  <c r="L834" i="2" s="1"/>
  <c r="K835" i="2"/>
  <c r="L835" i="2" s="1"/>
  <c r="K836" i="2"/>
  <c r="L836" i="2" s="1"/>
  <c r="K837" i="2"/>
  <c r="L837" i="2" s="1"/>
  <c r="K838" i="2"/>
  <c r="L838" i="2" s="1"/>
  <c r="K839" i="2"/>
  <c r="L839" i="2" s="1"/>
  <c r="K840" i="2"/>
  <c r="L840" i="2" s="1"/>
  <c r="K841" i="2"/>
  <c r="L841" i="2" s="1"/>
  <c r="K842" i="2"/>
  <c r="L842" i="2" s="1"/>
  <c r="K843" i="2"/>
  <c r="L843" i="2" s="1"/>
  <c r="K844" i="2"/>
  <c r="L844" i="2" s="1"/>
  <c r="K845" i="2"/>
  <c r="L845" i="2" s="1"/>
  <c r="K846" i="2"/>
  <c r="L846" i="2" s="1"/>
  <c r="K847" i="2"/>
  <c r="L847" i="2" s="1"/>
  <c r="K848" i="2"/>
  <c r="L848" i="2" s="1"/>
  <c r="K849" i="2"/>
  <c r="L849" i="2" s="1"/>
  <c r="K850" i="2"/>
  <c r="L850" i="2" s="1"/>
  <c r="K851" i="2"/>
  <c r="L851" i="2" s="1"/>
  <c r="K852" i="2"/>
  <c r="L852" i="2" s="1"/>
  <c r="K853" i="2"/>
  <c r="L853" i="2" s="1"/>
  <c r="K854" i="2"/>
  <c r="L854" i="2" s="1"/>
  <c r="K855" i="2"/>
  <c r="L855" i="2" s="1"/>
  <c r="K856" i="2"/>
  <c r="L856" i="2" s="1"/>
  <c r="K857" i="2"/>
  <c r="L857" i="2" s="1"/>
  <c r="K858" i="2"/>
  <c r="L858" i="2" s="1"/>
  <c r="K859" i="2"/>
  <c r="L859" i="2" s="1"/>
  <c r="K860" i="2"/>
  <c r="L860" i="2" s="1"/>
  <c r="K861" i="2"/>
  <c r="L861" i="2" s="1"/>
  <c r="K862" i="2"/>
  <c r="L862" i="2" s="1"/>
  <c r="K863" i="2"/>
  <c r="L863" i="2" s="1"/>
  <c r="K864" i="2"/>
  <c r="L864" i="2" s="1"/>
  <c r="K865" i="2"/>
  <c r="L865" i="2" s="1"/>
  <c r="K866" i="2"/>
  <c r="L866" i="2" s="1"/>
  <c r="K867" i="2"/>
  <c r="L867" i="2" s="1"/>
  <c r="K868" i="2"/>
  <c r="L868" i="2" s="1"/>
  <c r="K869" i="2"/>
  <c r="L869" i="2" s="1"/>
  <c r="K870" i="2"/>
  <c r="L870" i="2" s="1"/>
  <c r="K871" i="2"/>
  <c r="L871" i="2" s="1"/>
  <c r="K872" i="2"/>
  <c r="L872" i="2" s="1"/>
  <c r="K873" i="2"/>
  <c r="L873" i="2" s="1"/>
  <c r="K874" i="2"/>
  <c r="L874" i="2" s="1"/>
  <c r="K875" i="2"/>
  <c r="L875" i="2" s="1"/>
  <c r="K876" i="2"/>
  <c r="L876" i="2" s="1"/>
  <c r="K877" i="2"/>
  <c r="L877" i="2" s="1"/>
  <c r="K878" i="2"/>
  <c r="L878" i="2" s="1"/>
  <c r="K879" i="2"/>
  <c r="L879" i="2" s="1"/>
  <c r="K880" i="2"/>
  <c r="L880" i="2" s="1"/>
  <c r="K881" i="2"/>
  <c r="L881" i="2" s="1"/>
  <c r="K882" i="2"/>
  <c r="L882" i="2" s="1"/>
  <c r="K883" i="2"/>
  <c r="L883" i="2" s="1"/>
  <c r="K884" i="2"/>
  <c r="L884" i="2" s="1"/>
  <c r="K885" i="2"/>
  <c r="L885" i="2" s="1"/>
  <c r="K886" i="2"/>
  <c r="L886" i="2" s="1"/>
  <c r="K887" i="2"/>
  <c r="L887" i="2" s="1"/>
  <c r="K888" i="2"/>
  <c r="L888" i="2" s="1"/>
  <c r="K889" i="2"/>
  <c r="L889" i="2" s="1"/>
  <c r="K890" i="2"/>
  <c r="L890" i="2" s="1"/>
  <c r="K891" i="2"/>
  <c r="L891" i="2" s="1"/>
  <c r="K892" i="2"/>
  <c r="L892" i="2" s="1"/>
  <c r="K893" i="2"/>
  <c r="L893" i="2" s="1"/>
  <c r="K894" i="2"/>
  <c r="L894" i="2" s="1"/>
  <c r="K895" i="2"/>
  <c r="L895" i="2" s="1"/>
  <c r="K896" i="2"/>
  <c r="L896" i="2" s="1"/>
  <c r="K897" i="2"/>
  <c r="L897" i="2" s="1"/>
  <c r="K898" i="2"/>
  <c r="L898" i="2" s="1"/>
  <c r="K899" i="2"/>
  <c r="L899" i="2" s="1"/>
  <c r="K900" i="2"/>
  <c r="L900" i="2" s="1"/>
  <c r="K901" i="2"/>
  <c r="L901" i="2" s="1"/>
  <c r="K902" i="2"/>
  <c r="L902" i="2" s="1"/>
  <c r="K903" i="2"/>
  <c r="L903" i="2" s="1"/>
  <c r="K904" i="2"/>
  <c r="L904" i="2" s="1"/>
  <c r="K905" i="2"/>
  <c r="L905" i="2" s="1"/>
  <c r="K906" i="2"/>
  <c r="L906" i="2" s="1"/>
  <c r="K907" i="2"/>
  <c r="L907" i="2" s="1"/>
  <c r="K908" i="2"/>
  <c r="L908" i="2" s="1"/>
  <c r="K909" i="2"/>
  <c r="L909" i="2" s="1"/>
  <c r="K910" i="2"/>
  <c r="L910" i="2" s="1"/>
  <c r="K911" i="2"/>
  <c r="L911" i="2" s="1"/>
  <c r="K912" i="2"/>
  <c r="L912" i="2" s="1"/>
  <c r="K913" i="2"/>
  <c r="L913" i="2" s="1"/>
  <c r="K914" i="2"/>
  <c r="L914" i="2" s="1"/>
  <c r="K915" i="2"/>
  <c r="L915" i="2" s="1"/>
  <c r="K916" i="2"/>
  <c r="L916" i="2" s="1"/>
  <c r="K917" i="2"/>
  <c r="L917" i="2" s="1"/>
  <c r="K918" i="2"/>
  <c r="L918" i="2" s="1"/>
  <c r="K919" i="2"/>
  <c r="L919" i="2" s="1"/>
  <c r="K920" i="2"/>
  <c r="L920" i="2" s="1"/>
  <c r="K921" i="2"/>
  <c r="L921" i="2" s="1"/>
  <c r="K922" i="2"/>
  <c r="L922" i="2" s="1"/>
  <c r="K923" i="2"/>
  <c r="L923" i="2" s="1"/>
  <c r="K924" i="2"/>
  <c r="L924" i="2" s="1"/>
  <c r="K925" i="2"/>
  <c r="L925" i="2" s="1"/>
  <c r="K926" i="2"/>
  <c r="L926" i="2" s="1"/>
  <c r="K927" i="2"/>
  <c r="L927" i="2" s="1"/>
  <c r="K928" i="2"/>
  <c r="L928" i="2" s="1"/>
  <c r="K929" i="2"/>
  <c r="L929" i="2" s="1"/>
  <c r="K930" i="2"/>
  <c r="L930" i="2" s="1"/>
  <c r="K931" i="2"/>
  <c r="L931" i="2" s="1"/>
  <c r="K932" i="2"/>
  <c r="L932" i="2" s="1"/>
  <c r="K933" i="2"/>
  <c r="L933" i="2" s="1"/>
  <c r="K934" i="2"/>
  <c r="L934" i="2" s="1"/>
  <c r="K935" i="2"/>
  <c r="L935" i="2" s="1"/>
  <c r="K936" i="2"/>
  <c r="L936" i="2" s="1"/>
  <c r="K937" i="2"/>
  <c r="L937" i="2" s="1"/>
  <c r="K938" i="2"/>
  <c r="L938" i="2" s="1"/>
  <c r="K939" i="2"/>
  <c r="L939" i="2" s="1"/>
  <c r="K940" i="2"/>
  <c r="L940" i="2" s="1"/>
  <c r="K941" i="2"/>
  <c r="L941" i="2" s="1"/>
  <c r="K942" i="2"/>
  <c r="L942" i="2" s="1"/>
  <c r="K943" i="2"/>
  <c r="L943" i="2" s="1"/>
  <c r="K944" i="2"/>
  <c r="L944" i="2" s="1"/>
  <c r="K945" i="2"/>
  <c r="L945" i="2" s="1"/>
  <c r="K946" i="2"/>
  <c r="L946" i="2" s="1"/>
  <c r="K947" i="2"/>
  <c r="L947" i="2" s="1"/>
  <c r="K948" i="2"/>
  <c r="L948" i="2" s="1"/>
  <c r="K949" i="2"/>
  <c r="L949" i="2" s="1"/>
  <c r="K950" i="2"/>
  <c r="L950" i="2" s="1"/>
  <c r="K951" i="2"/>
  <c r="L951" i="2" s="1"/>
  <c r="K952" i="2"/>
  <c r="L952" i="2" s="1"/>
  <c r="K953" i="2"/>
  <c r="L953" i="2" s="1"/>
  <c r="K954" i="2"/>
  <c r="L954" i="2" s="1"/>
  <c r="K955" i="2"/>
  <c r="L955" i="2" s="1"/>
  <c r="K956" i="2"/>
  <c r="L956" i="2" s="1"/>
  <c r="K957" i="2"/>
  <c r="L957" i="2" s="1"/>
  <c r="K958" i="2"/>
  <c r="L958" i="2" s="1"/>
  <c r="K959" i="2"/>
  <c r="L959" i="2" s="1"/>
  <c r="K960" i="2"/>
  <c r="L960" i="2" s="1"/>
  <c r="K961" i="2"/>
  <c r="L961" i="2" s="1"/>
  <c r="K962" i="2"/>
  <c r="L962" i="2" s="1"/>
  <c r="K963" i="2"/>
  <c r="L963" i="2" s="1"/>
  <c r="K964" i="2"/>
  <c r="L964" i="2" s="1"/>
  <c r="K965" i="2"/>
  <c r="L965" i="2" s="1"/>
  <c r="K966" i="2"/>
  <c r="L966" i="2" s="1"/>
  <c r="K967" i="2"/>
  <c r="L967" i="2" s="1"/>
  <c r="K968" i="2"/>
  <c r="L968" i="2" s="1"/>
  <c r="K969" i="2"/>
  <c r="L969" i="2" s="1"/>
  <c r="K970" i="2"/>
  <c r="L970" i="2" s="1"/>
  <c r="K971" i="2"/>
  <c r="L971" i="2" s="1"/>
  <c r="K972" i="2"/>
  <c r="L972" i="2" s="1"/>
  <c r="K973" i="2"/>
  <c r="L973" i="2" s="1"/>
  <c r="K974" i="2"/>
  <c r="L974" i="2" s="1"/>
  <c r="K975" i="2"/>
  <c r="L975" i="2" s="1"/>
  <c r="K976" i="2"/>
  <c r="L976" i="2" s="1"/>
  <c r="K977" i="2"/>
  <c r="L977" i="2" s="1"/>
  <c r="K978" i="2"/>
  <c r="L978" i="2" s="1"/>
  <c r="K979" i="2"/>
  <c r="L979" i="2" s="1"/>
  <c r="K980" i="2"/>
  <c r="L980" i="2" s="1"/>
  <c r="K981" i="2"/>
  <c r="L981" i="2" s="1"/>
  <c r="K982" i="2"/>
  <c r="L982" i="2" s="1"/>
  <c r="K983" i="2"/>
  <c r="L983" i="2" s="1"/>
  <c r="K984" i="2"/>
  <c r="L984" i="2" s="1"/>
  <c r="K985" i="2"/>
  <c r="L985" i="2" s="1"/>
  <c r="K986" i="2"/>
  <c r="L986" i="2" s="1"/>
  <c r="K987" i="2"/>
  <c r="L987" i="2" s="1"/>
  <c r="K988" i="2"/>
  <c r="L988" i="2" s="1"/>
  <c r="K989" i="2"/>
  <c r="L989" i="2" s="1"/>
  <c r="K990" i="2"/>
  <c r="L990" i="2" s="1"/>
  <c r="K991" i="2"/>
  <c r="L991" i="2" s="1"/>
  <c r="K992" i="2"/>
  <c r="L992" i="2" s="1"/>
  <c r="K993" i="2"/>
  <c r="L993" i="2" s="1"/>
  <c r="K994" i="2"/>
  <c r="L994" i="2" s="1"/>
  <c r="K995" i="2"/>
  <c r="L995" i="2" s="1"/>
  <c r="K996" i="2"/>
  <c r="L996" i="2" s="1"/>
  <c r="K997" i="2"/>
  <c r="L997" i="2" s="1"/>
  <c r="K998" i="2"/>
  <c r="L998" i="2" s="1"/>
  <c r="K999" i="2"/>
  <c r="L999" i="2" s="1"/>
  <c r="K1000" i="2"/>
  <c r="L1000" i="2" s="1"/>
  <c r="K1001" i="2"/>
  <c r="L1001" i="2" s="1"/>
  <c r="I3" i="9"/>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H3" i="9" l="1"/>
  <c r="N2" i="2"/>
  <c r="M11" i="2" l="1" a="1"/>
  <c r="M11" i="2" s="1"/>
  <c r="M25" i="2" a="1"/>
  <c r="M25" i="2" s="1"/>
  <c r="M52" i="2" a="1"/>
  <c r="M52" i="2" s="1"/>
  <c r="M66" i="2" a="1"/>
  <c r="M66" i="2" s="1"/>
  <c r="M79" i="2" a="1"/>
  <c r="M79" i="2" s="1"/>
  <c r="M93" i="2" a="1"/>
  <c r="M93" i="2" s="1"/>
  <c r="M106" i="2" a="1"/>
  <c r="M106" i="2" s="1"/>
  <c r="M133" i="2" a="1"/>
  <c r="M133" i="2" s="1"/>
  <c r="M159" i="2" a="1"/>
  <c r="M159" i="2" s="1"/>
  <c r="M174" i="2" a="1"/>
  <c r="M174" i="2" s="1"/>
  <c r="M186" i="2" a="1"/>
  <c r="M186" i="2" s="1"/>
  <c r="M200" i="2" a="1"/>
  <c r="M200" i="2" s="1"/>
  <c r="M213" i="2" a="1"/>
  <c r="M213" i="2" s="1"/>
  <c r="M227" i="2" a="1"/>
  <c r="M227" i="2" s="1"/>
  <c r="M254" i="2" a="1"/>
  <c r="M254" i="2" s="1"/>
  <c r="M267" i="2" a="1"/>
  <c r="M267" i="2" s="1"/>
  <c r="M280" i="2" a="1"/>
  <c r="M280" i="2" s="1"/>
  <c r="M295" i="2" a="1"/>
  <c r="M295" i="2" s="1"/>
  <c r="M307" i="2" a="1"/>
  <c r="M307" i="2" s="1"/>
  <c r="M335" i="2" a="1"/>
  <c r="M335" i="2" s="1"/>
  <c r="M348" i="2" a="1"/>
  <c r="M348" i="2" s="1"/>
  <c r="M390" i="2" a="1"/>
  <c r="M390" i="2" s="1"/>
  <c r="M404" i="2" a="1"/>
  <c r="M404" i="2" s="1"/>
  <c r="M418" i="2" a="1"/>
  <c r="M418" i="2" s="1"/>
  <c r="M432" i="2" a="1"/>
  <c r="M432" i="2" s="1"/>
  <c r="M460" i="2" a="1"/>
  <c r="M460" i="2" s="1"/>
  <c r="M475" i="2" a="1"/>
  <c r="M475" i="2" s="1"/>
  <c r="M489" i="2" a="1"/>
  <c r="M489" i="2" s="1"/>
  <c r="M503" i="2" a="1"/>
  <c r="M503" i="2" s="1"/>
  <c r="M531" i="2" a="1"/>
  <c r="M531" i="2" s="1"/>
  <c r="M545" i="2" a="1"/>
  <c r="M545" i="2" s="1"/>
  <c r="M559" i="2" a="1"/>
  <c r="M559" i="2" s="1"/>
  <c r="M574" i="2" a="1"/>
  <c r="M574" i="2" s="1"/>
  <c r="M601" i="2" a="1"/>
  <c r="M601" i="2" s="1"/>
  <c r="M615" i="2" a="1"/>
  <c r="M615" i="2" s="1"/>
  <c r="M629" i="2" a="1"/>
  <c r="M629" i="2" s="1"/>
  <c r="M642" i="2" a="1"/>
  <c r="M642" i="2" s="1"/>
  <c r="M685" i="2" a="1"/>
  <c r="M685" i="2" s="1"/>
  <c r="M699" i="2" a="1"/>
  <c r="M699" i="2" s="1"/>
  <c r="M714" i="2" a="1"/>
  <c r="M714" i="2" s="1"/>
  <c r="M740" i="2" a="1"/>
  <c r="M740" i="2" s="1"/>
  <c r="M754" i="2" a="1"/>
  <c r="M754" i="2" s="1"/>
  <c r="M769" i="2" a="1"/>
  <c r="M769" i="2" s="1"/>
  <c r="M782" i="2" a="1"/>
  <c r="M782" i="2" s="1"/>
  <c r="M810" i="2" a="1"/>
  <c r="M810" i="2" s="1"/>
  <c r="M824" i="2" a="1"/>
  <c r="M824" i="2" s="1"/>
  <c r="M838" i="2" a="1"/>
  <c r="M838" i="2" s="1"/>
  <c r="M853" i="2" a="1"/>
  <c r="M853" i="2" s="1"/>
  <c r="M866" i="2" a="1"/>
  <c r="M866" i="2" s="1"/>
  <c r="M879" i="2" a="1"/>
  <c r="M879" i="2" s="1"/>
  <c r="M893" i="2" a="1"/>
  <c r="M893" i="2" s="1"/>
  <c r="M906" i="2" a="1"/>
  <c r="M906" i="2" s="1"/>
  <c r="M920" i="2" a="1"/>
  <c r="M920" i="2" s="1"/>
  <c r="M948" i="2" a="1"/>
  <c r="M948" i="2" s="1"/>
  <c r="M977" i="2" a="1"/>
  <c r="M977" i="2" s="1"/>
  <c r="M992" i="2" a="1"/>
  <c r="M992" i="2" s="1"/>
  <c r="M135" i="2" a="1"/>
  <c r="M135" i="2" s="1"/>
  <c r="M148" i="2" a="1"/>
  <c r="M148" i="2" s="1"/>
  <c r="M160" i="2" a="1"/>
  <c r="M160" i="2" s="1"/>
  <c r="M201" i="2" a="1"/>
  <c r="M201" i="2" s="1"/>
  <c r="M268" i="2" a="1"/>
  <c r="M268" i="2" s="1"/>
  <c r="M281" i="2" a="1"/>
  <c r="M281" i="2" s="1"/>
  <c r="M296" i="2" a="1"/>
  <c r="M296" i="2" s="1"/>
  <c r="M336" i="2" a="1"/>
  <c r="M336" i="2" s="1"/>
  <c r="M363" i="2" a="1"/>
  <c r="M363" i="2" s="1"/>
  <c r="M26" i="2" a="1"/>
  <c r="M26" i="2" s="1"/>
  <c r="M39" i="2" a="1"/>
  <c r="M39" i="2" s="1"/>
  <c r="M53" i="2" a="1"/>
  <c r="M53" i="2" s="1"/>
  <c r="M94" i="2" a="1"/>
  <c r="M94" i="2" s="1"/>
  <c r="M120" i="2" a="1"/>
  <c r="M120" i="2" s="1"/>
  <c r="M134" i="2" a="1"/>
  <c r="M134" i="2" s="1"/>
  <c r="M147" i="2" a="1"/>
  <c r="M147" i="2" s="1"/>
  <c r="M175" i="2" a="1"/>
  <c r="M175" i="2" s="1"/>
  <c r="M187" i="2" a="1"/>
  <c r="M187" i="2" s="1"/>
  <c r="M214" i="2" a="1"/>
  <c r="M214" i="2" s="1"/>
  <c r="M228" i="2" a="1"/>
  <c r="M228" i="2" s="1"/>
  <c r="M240" i="2" a="1"/>
  <c r="M240" i="2" s="1"/>
  <c r="M255" i="2" a="1"/>
  <c r="M255" i="2" s="1"/>
  <c r="M308" i="2" a="1"/>
  <c r="M308" i="2" s="1"/>
  <c r="M321" i="2" a="1"/>
  <c r="M321" i="2" s="1"/>
  <c r="M362" i="2" a="1"/>
  <c r="M362" i="2" s="1"/>
  <c r="M377" i="2" a="1"/>
  <c r="M377" i="2" s="1"/>
  <c r="M391" i="2" a="1"/>
  <c r="M391" i="2" s="1"/>
  <c r="M405" i="2" a="1"/>
  <c r="M405" i="2" s="1"/>
  <c r="M433" i="2" a="1"/>
  <c r="M433" i="2" s="1"/>
  <c r="M447" i="2" a="1"/>
  <c r="M447" i="2" s="1"/>
  <c r="M476" i="2" a="1"/>
  <c r="M476" i="2" s="1"/>
  <c r="M504" i="2" a="1"/>
  <c r="M504" i="2" s="1"/>
  <c r="M518" i="2" a="1"/>
  <c r="M518" i="2" s="1"/>
  <c r="M532" i="2" a="1"/>
  <c r="M532" i="2" s="1"/>
  <c r="M546" i="2" a="1"/>
  <c r="M546" i="2" s="1"/>
  <c r="M575" i="2" a="1"/>
  <c r="M575" i="2" s="1"/>
  <c r="M588" i="2" a="1"/>
  <c r="M588" i="2" s="1"/>
  <c r="M616" i="2" a="1"/>
  <c r="M616" i="2" s="1"/>
  <c r="M630" i="2" a="1"/>
  <c r="M630" i="2" s="1"/>
  <c r="M643" i="2" a="1"/>
  <c r="M643" i="2" s="1"/>
  <c r="M658" i="2" a="1"/>
  <c r="M658" i="2" s="1"/>
  <c r="M671" i="2" a="1"/>
  <c r="M671" i="2" s="1"/>
  <c r="M686" i="2" a="1"/>
  <c r="M686" i="2" s="1"/>
  <c r="M715" i="2" a="1"/>
  <c r="M715" i="2" s="1"/>
  <c r="M727" i="2" a="1"/>
  <c r="M727" i="2" s="1"/>
  <c r="M755" i="2" a="1"/>
  <c r="M755" i="2" s="1"/>
  <c r="M783" i="2" a="1"/>
  <c r="M783" i="2" s="1"/>
  <c r="M798" i="2" a="1"/>
  <c r="M798" i="2" s="1"/>
  <c r="M825" i="2" a="1"/>
  <c r="M825" i="2" s="1"/>
  <c r="M839" i="2" a="1"/>
  <c r="M839" i="2" s="1"/>
  <c r="M880" i="2" a="1"/>
  <c r="M880" i="2" s="1"/>
  <c r="M921" i="2" a="1"/>
  <c r="M921" i="2" s="1"/>
  <c r="M935" i="2" a="1"/>
  <c r="M935" i="2" s="1"/>
  <c r="M949" i="2" a="1"/>
  <c r="M949" i="2" s="1"/>
  <c r="M964" i="2" a="1"/>
  <c r="M964" i="2" s="1"/>
  <c r="M993" i="2" a="1"/>
  <c r="M993" i="2" s="1"/>
  <c r="M215" i="2" a="1"/>
  <c r="M215" i="2" s="1"/>
  <c r="M256" i="2" a="1"/>
  <c r="M256" i="2" s="1"/>
  <c r="M309" i="2" a="1"/>
  <c r="M309" i="2" s="1"/>
  <c r="M349" i="2" a="1"/>
  <c r="M349" i="2" s="1"/>
  <c r="M12" i="2" a="1"/>
  <c r="M12" i="2" s="1"/>
  <c r="M27" i="2" a="1"/>
  <c r="M27" i="2" s="1"/>
  <c r="M54" i="2" a="1"/>
  <c r="M54" i="2" s="1"/>
  <c r="M67" i="2" a="1"/>
  <c r="M67" i="2" s="1"/>
  <c r="M80" i="2" a="1"/>
  <c r="M80" i="2" s="1"/>
  <c r="M95" i="2" a="1"/>
  <c r="M95" i="2" s="1"/>
  <c r="M107" i="2" a="1"/>
  <c r="M107" i="2" s="1"/>
  <c r="M13" i="2" a="1"/>
  <c r="M13" i="2" s="1"/>
  <c r="M28" i="2" a="1"/>
  <c r="M28" i="2" s="1"/>
  <c r="M40" i="2" a="1"/>
  <c r="M40" i="2" s="1"/>
  <c r="M55" i="2" a="1"/>
  <c r="M55" i="2" s="1"/>
  <c r="M108" i="2" a="1"/>
  <c r="M108" i="2" s="1"/>
  <c r="M121" i="2" a="1"/>
  <c r="M121" i="2" s="1"/>
  <c r="M161" i="2" a="1"/>
  <c r="M161" i="2" s="1"/>
  <c r="M176" i="2" a="1"/>
  <c r="M176" i="2" s="1"/>
  <c r="M188" i="2" a="1"/>
  <c r="M188" i="2" s="1"/>
  <c r="M229" i="2" a="1"/>
  <c r="M229" i="2" s="1"/>
  <c r="M241" i="2" a="1"/>
  <c r="M241" i="2" s="1"/>
  <c r="M269" i="2" a="1"/>
  <c r="M269" i="2" s="1"/>
  <c r="M310" i="2" a="1"/>
  <c r="M310" i="2" s="1"/>
  <c r="M322" i="2" a="1"/>
  <c r="M322" i="2" s="1"/>
  <c r="M364" i="2" a="1"/>
  <c r="M364" i="2" s="1"/>
  <c r="M378" i="2" a="1"/>
  <c r="M378" i="2" s="1"/>
  <c r="M393" i="2" a="1"/>
  <c r="M393" i="2" s="1"/>
  <c r="M406" i="2" a="1"/>
  <c r="M406" i="2" s="1"/>
  <c r="M420" i="2" a="1"/>
  <c r="M420" i="2" s="1"/>
  <c r="M435" i="2" a="1"/>
  <c r="M435" i="2" s="1"/>
  <c r="M448" i="2" a="1"/>
  <c r="M448" i="2" s="1"/>
  <c r="M462" i="2" a="1"/>
  <c r="M462" i="2" s="1"/>
  <c r="M477" i="2" a="1"/>
  <c r="M477" i="2" s="1"/>
  <c r="M519" i="2" a="1"/>
  <c r="M519" i="2" s="1"/>
  <c r="M534" i="2" a="1"/>
  <c r="M534" i="2" s="1"/>
  <c r="M547" i="2" a="1"/>
  <c r="M547" i="2" s="1"/>
  <c r="M561" i="2" a="1"/>
  <c r="M561" i="2" s="1"/>
  <c r="M576" i="2" a="1"/>
  <c r="M576" i="2" s="1"/>
  <c r="M589" i="2" a="1"/>
  <c r="M589" i="2" s="1"/>
  <c r="M603" i="2" a="1"/>
  <c r="M603" i="2" s="1"/>
  <c r="M631" i="2" a="1"/>
  <c r="M631" i="2" s="1"/>
  <c r="M645" i="2" a="1"/>
  <c r="M645" i="2" s="1"/>
  <c r="M659" i="2" a="1"/>
  <c r="M659" i="2" s="1"/>
  <c r="M673" i="2" a="1"/>
  <c r="M673" i="2" s="1"/>
  <c r="M716" i="2" a="1"/>
  <c r="M716" i="2" s="1"/>
  <c r="M756" i="2" a="1"/>
  <c r="M756" i="2" s="1"/>
  <c r="M771" i="2" a="1"/>
  <c r="M771" i="2" s="1"/>
  <c r="M785" i="2" a="1"/>
  <c r="M785" i="2" s="1"/>
  <c r="M799" i="2" a="1"/>
  <c r="M799" i="2" s="1"/>
  <c r="M827" i="2" a="1"/>
  <c r="M827" i="2" s="1"/>
  <c r="M923" i="2" a="1"/>
  <c r="M923" i="2" s="1"/>
  <c r="M951" i="2" a="1"/>
  <c r="M951" i="2" s="1"/>
  <c r="M965" i="2" a="1"/>
  <c r="M965" i="2" s="1"/>
  <c r="M979" i="2" a="1"/>
  <c r="M979" i="2" s="1"/>
  <c r="M994" i="2" a="1"/>
  <c r="M994" i="2" s="1"/>
  <c r="M14" i="2" a="1"/>
  <c r="M14" i="2" s="1"/>
  <c r="M56" i="2" a="1"/>
  <c r="M56" i="2" s="1"/>
  <c r="M68" i="2" a="1"/>
  <c r="M68" i="2" s="1"/>
  <c r="M81" i="2" a="1"/>
  <c r="M81" i="2" s="1"/>
  <c r="M96" i="2" a="1"/>
  <c r="M96" i="2" s="1"/>
  <c r="M109" i="2" a="1"/>
  <c r="M109" i="2" s="1"/>
  <c r="M136" i="2" a="1"/>
  <c r="M136" i="2" s="1"/>
  <c r="M149" i="2" a="1"/>
  <c r="M149" i="2" s="1"/>
  <c r="M202" i="2" a="1"/>
  <c r="M202" i="2" s="1"/>
  <c r="M216" i="2" a="1"/>
  <c r="M216" i="2" s="1"/>
  <c r="M230" i="2" a="1"/>
  <c r="M230" i="2" s="1"/>
  <c r="M257" i="2" a="1"/>
  <c r="M257" i="2" s="1"/>
  <c r="M282" i="2" a="1"/>
  <c r="M282" i="2" s="1"/>
  <c r="M297" i="2" a="1"/>
  <c r="M297" i="2" s="1"/>
  <c r="M323" i="2" a="1"/>
  <c r="M323" i="2" s="1"/>
  <c r="M337" i="2" a="1"/>
  <c r="M337" i="2" s="1"/>
  <c r="M350" i="2" a="1"/>
  <c r="M350" i="2" s="1"/>
  <c r="M365" i="2" a="1"/>
  <c r="M365" i="2" s="1"/>
  <c r="M394" i="2" a="1"/>
  <c r="M394" i="2" s="1"/>
  <c r="M407" i="2" a="1"/>
  <c r="M407" i="2" s="1"/>
  <c r="M449" i="2" a="1"/>
  <c r="M449" i="2" s="1"/>
  <c r="M463" i="2" a="1"/>
  <c r="M463" i="2" s="1"/>
  <c r="M491" i="2" a="1"/>
  <c r="M491" i="2" s="1"/>
  <c r="M506" i="2" a="1"/>
  <c r="M506" i="2" s="1"/>
  <c r="M535" i="2" a="1"/>
  <c r="M535" i="2" s="1"/>
  <c r="M548" i="2" a="1"/>
  <c r="M548" i="2" s="1"/>
  <c r="M590" i="2" a="1"/>
  <c r="M590" i="2" s="1"/>
  <c r="M604" i="2" a="1"/>
  <c r="M604" i="2" s="1"/>
  <c r="M618" i="2" a="1"/>
  <c r="M618" i="2" s="1"/>
  <c r="M646" i="2" a="1"/>
  <c r="M646" i="2" s="1"/>
  <c r="M674" i="2" a="1"/>
  <c r="M674" i="2" s="1"/>
  <c r="M688" i="2" a="1"/>
  <c r="M688" i="2" s="1"/>
  <c r="M701" i="2" a="1"/>
  <c r="M701" i="2" s="1"/>
  <c r="M729" i="2" a="1"/>
  <c r="M729" i="2" s="1"/>
  <c r="M742" i="2" a="1"/>
  <c r="M742" i="2" s="1"/>
  <c r="M757" i="2" a="1"/>
  <c r="M757" i="2" s="1"/>
  <c r="M812" i="2" a="1"/>
  <c r="M812" i="2" s="1"/>
  <c r="M828" i="2" a="1"/>
  <c r="M828" i="2" s="1"/>
  <c r="M841" i="2" a="1"/>
  <c r="M841" i="2" s="1"/>
  <c r="M855" i="2" a="1"/>
  <c r="M855" i="2" s="1"/>
  <c r="M868" i="2" a="1"/>
  <c r="M868" i="2" s="1"/>
  <c r="M882" i="2" a="1"/>
  <c r="M882" i="2" s="1"/>
  <c r="M895" i="2" a="1"/>
  <c r="M895" i="2" s="1"/>
  <c r="M908" i="2" a="1"/>
  <c r="M908" i="2" s="1"/>
  <c r="M937" i="2" a="1"/>
  <c r="M937" i="2" s="1"/>
  <c r="M952" i="2" a="1"/>
  <c r="M952" i="2" s="1"/>
  <c r="M966" i="2" a="1"/>
  <c r="M966" i="2" s="1"/>
  <c r="M980" i="2" a="1"/>
  <c r="M980" i="2" s="1"/>
  <c r="M15" i="2" a="1"/>
  <c r="M15" i="2" s="1"/>
  <c r="M29" i="2" a="1"/>
  <c r="M29" i="2" s="1"/>
  <c r="M41" i="2" a="1"/>
  <c r="M41" i="2" s="1"/>
  <c r="M69" i="2" a="1"/>
  <c r="M69" i="2" s="1"/>
  <c r="M110" i="2" a="1"/>
  <c r="M110" i="2" s="1"/>
  <c r="M122" i="2" a="1"/>
  <c r="M122" i="2" s="1"/>
  <c r="M162" i="2" a="1"/>
  <c r="M162" i="2" s="1"/>
  <c r="M177" i="2" a="1"/>
  <c r="M177" i="2" s="1"/>
  <c r="M189" i="2" a="1"/>
  <c r="M189" i="2" s="1"/>
  <c r="M203" i="2" a="1"/>
  <c r="M203" i="2" s="1"/>
  <c r="M242" i="2" a="1"/>
  <c r="M242" i="2" s="1"/>
  <c r="M270" i="2" a="1"/>
  <c r="M270" i="2" s="1"/>
  <c r="M283" i="2" a="1"/>
  <c r="M283" i="2" s="1"/>
  <c r="M311" i="2" a="1"/>
  <c r="M311" i="2" s="1"/>
  <c r="M324" i="2" a="1"/>
  <c r="M324" i="2" s="1"/>
  <c r="M338" i="2" a="1"/>
  <c r="M338" i="2" s="1"/>
  <c r="M351" i="2" a="1"/>
  <c r="M351" i="2" s="1"/>
  <c r="M379" i="2" a="1"/>
  <c r="M379" i="2" s="1"/>
  <c r="M395" i="2" a="1"/>
  <c r="M395" i="2" s="1"/>
  <c r="M421" i="2" a="1"/>
  <c r="M421" i="2" s="1"/>
  <c r="M436" i="2" a="1"/>
  <c r="M436" i="2" s="1"/>
  <c r="M450" i="2" a="1"/>
  <c r="M450" i="2" s="1"/>
  <c r="M464" i="2" a="1"/>
  <c r="M464" i="2" s="1"/>
  <c r="M478" i="2" a="1"/>
  <c r="M478" i="2" s="1"/>
  <c r="M492" i="2" a="1"/>
  <c r="M492" i="2" s="1"/>
  <c r="M520" i="2" a="1"/>
  <c r="M520" i="2" s="1"/>
  <c r="M562" i="2" a="1"/>
  <c r="M562" i="2" s="1"/>
  <c r="M577" i="2" a="1"/>
  <c r="M577" i="2" s="1"/>
  <c r="M591" i="2" a="1"/>
  <c r="M591" i="2" s="1"/>
  <c r="M605" i="2" a="1"/>
  <c r="M605" i="2" s="1"/>
  <c r="M632" i="2" a="1"/>
  <c r="M632" i="2" s="1"/>
  <c r="M660" i="2" a="1"/>
  <c r="M660" i="2" s="1"/>
  <c r="M675" i="2" a="1"/>
  <c r="M675" i="2" s="1"/>
  <c r="M689" i="2" a="1"/>
  <c r="M689" i="2" s="1"/>
  <c r="M702" i="2" a="1"/>
  <c r="M702" i="2" s="1"/>
  <c r="M717" i="2" a="1"/>
  <c r="M717" i="2" s="1"/>
  <c r="M743" i="2" a="1"/>
  <c r="M743" i="2" s="1"/>
  <c r="M758" i="2" a="1"/>
  <c r="M758" i="2" s="1"/>
  <c r="M772" i="2" a="1"/>
  <c r="M772" i="2" s="1"/>
  <c r="M786" i="2" a="1"/>
  <c r="M786" i="2" s="1"/>
  <c r="M800" i="2" a="1"/>
  <c r="M800" i="2" s="1"/>
  <c r="M813" i="2" a="1"/>
  <c r="M813" i="2" s="1"/>
  <c r="M856" i="2" a="1"/>
  <c r="M856" i="2" s="1"/>
  <c r="M869" i="2" a="1"/>
  <c r="M869" i="2" s="1"/>
  <c r="M883" i="2" a="1"/>
  <c r="M883" i="2" s="1"/>
  <c r="M896" i="2" a="1"/>
  <c r="M896" i="2" s="1"/>
  <c r="M909" i="2" a="1"/>
  <c r="M909" i="2" s="1"/>
  <c r="M924" i="2" a="1"/>
  <c r="M924" i="2" s="1"/>
  <c r="M953" i="2" a="1"/>
  <c r="M953" i="2" s="1"/>
  <c r="M981" i="2" a="1"/>
  <c r="M981" i="2" s="1"/>
  <c r="M995" i="2" a="1"/>
  <c r="M995" i="2" s="1"/>
  <c r="M16" i="2" a="1"/>
  <c r="M16" i="2" s="1"/>
  <c r="M30" i="2" a="1"/>
  <c r="M30" i="2" s="1"/>
  <c r="M57" i="2" a="1"/>
  <c r="M57" i="2" s="1"/>
  <c r="M82" i="2" a="1"/>
  <c r="M82" i="2" s="1"/>
  <c r="M97" i="2" a="1"/>
  <c r="M97" i="2" s="1"/>
  <c r="M123" i="2" a="1"/>
  <c r="M123" i="2" s="1"/>
  <c r="M137" i="2" a="1"/>
  <c r="M137" i="2" s="1"/>
  <c r="M150" i="2" a="1"/>
  <c r="M150" i="2" s="1"/>
  <c r="M163" i="2" a="1"/>
  <c r="M163" i="2" s="1"/>
  <c r="M190" i="2" a="1"/>
  <c r="M190" i="2" s="1"/>
  <c r="M204" i="2" a="1"/>
  <c r="M204" i="2" s="1"/>
  <c r="M217" i="2" a="1"/>
  <c r="M217" i="2" s="1"/>
  <c r="M231" i="2" a="1"/>
  <c r="M231" i="2" s="1"/>
  <c r="M243" i="2" a="1"/>
  <c r="M243" i="2" s="1"/>
  <c r="M258" i="2" a="1"/>
  <c r="M258" i="2" s="1"/>
  <c r="M284" i="2" a="1"/>
  <c r="M284" i="2" s="1"/>
  <c r="M298" i="2" a="1"/>
  <c r="M298" i="2" s="1"/>
  <c r="M312" i="2" a="1"/>
  <c r="M312" i="2" s="1"/>
  <c r="M325" i="2" a="1"/>
  <c r="M325" i="2" s="1"/>
  <c r="M366" i="2" a="1"/>
  <c r="M366" i="2" s="1"/>
  <c r="M380" i="2" a="1"/>
  <c r="M380" i="2" s="1"/>
  <c r="M408" i="2" a="1"/>
  <c r="M408" i="2" s="1"/>
  <c r="M451" i="2" a="1"/>
  <c r="M451" i="2" s="1"/>
  <c r="M465" i="2" a="1"/>
  <c r="M465" i="2" s="1"/>
  <c r="M479" i="2" a="1"/>
  <c r="M479" i="2" s="1"/>
  <c r="M493" i="2" a="1"/>
  <c r="M493" i="2" s="1"/>
  <c r="M507" i="2" a="1"/>
  <c r="M507" i="2" s="1"/>
  <c r="M521" i="2" a="1"/>
  <c r="M521" i="2" s="1"/>
  <c r="M536" i="2" a="1"/>
  <c r="M536" i="2" s="1"/>
  <c r="M549" i="2" a="1"/>
  <c r="M549" i="2" s="1"/>
  <c r="M563" i="2" a="1"/>
  <c r="M563" i="2" s="1"/>
  <c r="M592" i="2" a="1"/>
  <c r="M592" i="2" s="1"/>
  <c r="M619" i="2" a="1"/>
  <c r="M619" i="2" s="1"/>
  <c r="M633" i="2" a="1"/>
  <c r="M633" i="2" s="1"/>
  <c r="M647" i="2" a="1"/>
  <c r="M647" i="2" s="1"/>
  <c r="M676" i="2" a="1"/>
  <c r="M676" i="2" s="1"/>
  <c r="M703" i="2" a="1"/>
  <c r="M703" i="2" s="1"/>
  <c r="M730" i="2" a="1"/>
  <c r="M730" i="2" s="1"/>
  <c r="M744" i="2" a="1"/>
  <c r="M744" i="2" s="1"/>
  <c r="M773" i="2" a="1"/>
  <c r="M773" i="2" s="1"/>
  <c r="M787" i="2" a="1"/>
  <c r="M787" i="2" s="1"/>
  <c r="M814" i="2" a="1"/>
  <c r="M814" i="2" s="1"/>
  <c r="M829" i="2" a="1"/>
  <c r="M829" i="2" s="1"/>
  <c r="M842" i="2" a="1"/>
  <c r="M842" i="2" s="1"/>
  <c r="M870" i="2" a="1"/>
  <c r="M870" i="2" s="1"/>
  <c r="M910" i="2" a="1"/>
  <c r="M910" i="2" s="1"/>
  <c r="M938" i="2" a="1"/>
  <c r="M938" i="2" s="1"/>
  <c r="M967" i="2" a="1"/>
  <c r="M967" i="2" s="1"/>
  <c r="M982" i="2" a="1"/>
  <c r="M982" i="2" s="1"/>
  <c r="M996" i="2" a="1"/>
  <c r="M996" i="2" s="1"/>
  <c r="M42" i="2" a="1"/>
  <c r="M42" i="2" s="1"/>
  <c r="M70" i="2" a="1"/>
  <c r="M70" i="2" s="1"/>
  <c r="M83" i="2" a="1"/>
  <c r="M83" i="2" s="1"/>
  <c r="M111" i="2" a="1"/>
  <c r="M111" i="2" s="1"/>
  <c r="M124" i="2" a="1"/>
  <c r="M124" i="2" s="1"/>
  <c r="M138" i="2" a="1"/>
  <c r="M138" i="2" s="1"/>
  <c r="M151" i="2" a="1"/>
  <c r="M151" i="2" s="1"/>
  <c r="M164" i="2" a="1"/>
  <c r="M164" i="2" s="1"/>
  <c r="M178" i="2" a="1"/>
  <c r="M178" i="2" s="1"/>
  <c r="M191" i="2" a="1"/>
  <c r="M191" i="2" s="1"/>
  <c r="M205" i="2" a="1"/>
  <c r="M205" i="2" s="1"/>
  <c r="M244" i="2" a="1"/>
  <c r="M244" i="2" s="1"/>
  <c r="M271" i="2" a="1"/>
  <c r="M271" i="2" s="1"/>
  <c r="M285" i="2" a="1"/>
  <c r="M285" i="2" s="1"/>
  <c r="M313" i="2" a="1"/>
  <c r="M313" i="2" s="1"/>
  <c r="M339" i="2" a="1"/>
  <c r="M339" i="2" s="1"/>
  <c r="M352" i="2" a="1"/>
  <c r="M352" i="2" s="1"/>
  <c r="M367" i="2" a="1"/>
  <c r="M367" i="2" s="1"/>
  <c r="M381" i="2" a="1"/>
  <c r="M381" i="2" s="1"/>
  <c r="M396" i="2" a="1"/>
  <c r="M396" i="2" s="1"/>
  <c r="M422" i="2" a="1"/>
  <c r="M422" i="2" s="1"/>
  <c r="M437" i="2" a="1"/>
  <c r="M437" i="2" s="1"/>
  <c r="M466" i="2" a="1"/>
  <c r="M466" i="2" s="1"/>
  <c r="M494" i="2" a="1"/>
  <c r="M494" i="2" s="1"/>
  <c r="M508" i="2" a="1"/>
  <c r="M508" i="2" s="1"/>
  <c r="M522" i="2" a="1"/>
  <c r="M522" i="2" s="1"/>
  <c r="M564" i="2" a="1"/>
  <c r="M564" i="2" s="1"/>
  <c r="M578" i="2" a="1"/>
  <c r="M578" i="2" s="1"/>
  <c r="M593" i="2" a="1"/>
  <c r="M593" i="2" s="1"/>
  <c r="M606" i="2" a="1"/>
  <c r="M606" i="2" s="1"/>
  <c r="M620" i="2" a="1"/>
  <c r="M620" i="2" s="1"/>
  <c r="M634" i="2" a="1"/>
  <c r="M634" i="2" s="1"/>
  <c r="M661" i="2" a="1"/>
  <c r="M661" i="2" s="1"/>
  <c r="M690" i="2" a="1"/>
  <c r="M690" i="2" s="1"/>
  <c r="M704" i="2" a="1"/>
  <c r="M704" i="2" s="1"/>
  <c r="M718" i="2" a="1"/>
  <c r="M718" i="2" s="1"/>
  <c r="M731" i="2" a="1"/>
  <c r="M731" i="2" s="1"/>
  <c r="M745" i="2" a="1"/>
  <c r="M745" i="2" s="1"/>
  <c r="M759" i="2" a="1"/>
  <c r="M759" i="2" s="1"/>
  <c r="M774" i="2" a="1"/>
  <c r="M774" i="2" s="1"/>
  <c r="M801" i="2" a="1"/>
  <c r="M801" i="2" s="1"/>
  <c r="M815" i="2" a="1"/>
  <c r="M815" i="2" s="1"/>
  <c r="M830" i="2" a="1"/>
  <c r="M830" i="2" s="1"/>
  <c r="M843" i="2" a="1"/>
  <c r="M843" i="2" s="1"/>
  <c r="M857" i="2" a="1"/>
  <c r="M857" i="2" s="1"/>
  <c r="M871" i="2" a="1"/>
  <c r="M871" i="2" s="1"/>
  <c r="M884" i="2" a="1"/>
  <c r="M884" i="2" s="1"/>
  <c r="M897" i="2" a="1"/>
  <c r="M897" i="2" s="1"/>
  <c r="M911" i="2" a="1"/>
  <c r="M911" i="2" s="1"/>
  <c r="M925" i="2" a="1"/>
  <c r="M925" i="2" s="1"/>
  <c r="M939" i="2" a="1"/>
  <c r="M939" i="2" s="1"/>
  <c r="M954" i="2" a="1"/>
  <c r="M954" i="2" s="1"/>
  <c r="M3" i="2" a="1"/>
  <c r="M3" i="2" s="1"/>
  <c r="M44" i="2" a="1"/>
  <c r="M44" i="2" s="1"/>
  <c r="M71" i="2" a="1"/>
  <c r="M71" i="2" s="1"/>
  <c r="M85" i="2" a="1"/>
  <c r="M85" i="2" s="1"/>
  <c r="M113" i="2" a="1"/>
  <c r="M113" i="2" s="1"/>
  <c r="M139" i="2" a="1"/>
  <c r="M139" i="2" s="1"/>
  <c r="M152" i="2" a="1"/>
  <c r="M152" i="2" s="1"/>
  <c r="M179" i="2" a="1"/>
  <c r="M179" i="2" s="1"/>
  <c r="M193" i="2" a="1"/>
  <c r="M193" i="2" s="1"/>
  <c r="M206" i="2" a="1"/>
  <c r="M206" i="2" s="1"/>
  <c r="M233" i="2" a="1"/>
  <c r="M233" i="2" s="1"/>
  <c r="M246" i="2" a="1"/>
  <c r="M246" i="2" s="1"/>
  <c r="M273" i="2" a="1"/>
  <c r="M273" i="2" s="1"/>
  <c r="M287" i="2" a="1"/>
  <c r="M287" i="2" s="1"/>
  <c r="M315" i="2" a="1"/>
  <c r="M315" i="2" s="1"/>
  <c r="M340" i="2" a="1"/>
  <c r="M340" i="2" s="1"/>
  <c r="M354" i="2" a="1"/>
  <c r="M354" i="2" s="1"/>
  <c r="M369" i="2" a="1"/>
  <c r="M369" i="2" s="1"/>
  <c r="M382" i="2" a="1"/>
  <c r="M382" i="2" s="1"/>
  <c r="M410" i="2" a="1"/>
  <c r="M410" i="2" s="1"/>
  <c r="M424" i="2" a="1"/>
  <c r="M424" i="2" s="1"/>
  <c r="M4" i="2" a="1"/>
  <c r="M4" i="2" s="1"/>
  <c r="M18" i="2" a="1"/>
  <c r="M18" i="2" s="1"/>
  <c r="M32" i="2" a="1"/>
  <c r="M32" i="2" s="1"/>
  <c r="M45" i="2" a="1"/>
  <c r="M45" i="2" s="1"/>
  <c r="M59" i="2" a="1"/>
  <c r="M59" i="2" s="1"/>
  <c r="M72" i="2" a="1"/>
  <c r="M72" i="2" s="1"/>
  <c r="M86" i="2" a="1"/>
  <c r="M86" i="2" s="1"/>
  <c r="M99" i="2" a="1"/>
  <c r="M99" i="2" s="1"/>
  <c r="M114" i="2" a="1"/>
  <c r="M114" i="2" s="1"/>
  <c r="M126" i="2" a="1"/>
  <c r="M126" i="2" s="1"/>
  <c r="M153" i="2" a="1"/>
  <c r="M153" i="2" s="1"/>
  <c r="M166" i="2" a="1"/>
  <c r="M166" i="2" s="1"/>
  <c r="M194" i="2" a="1"/>
  <c r="M194" i="2" s="1"/>
  <c r="M207" i="2" a="1"/>
  <c r="M207" i="2" s="1"/>
  <c r="M219" i="2" a="1"/>
  <c r="M219" i="2" s="1"/>
  <c r="M234" i="2" a="1"/>
  <c r="M234" i="2" s="1"/>
  <c r="M260" i="2" a="1"/>
  <c r="M260" i="2" s="1"/>
  <c r="M274" i="2" a="1"/>
  <c r="M274" i="2" s="1"/>
  <c r="M300" i="2" a="1"/>
  <c r="M300" i="2" s="1"/>
  <c r="M327" i="2" a="1"/>
  <c r="M327" i="2" s="1"/>
  <c r="M355" i="2" a="1"/>
  <c r="M355" i="2" s="1"/>
  <c r="M383" i="2" a="1"/>
  <c r="M383" i="2" s="1"/>
  <c r="M398" i="2" a="1"/>
  <c r="M398" i="2" s="1"/>
  <c r="M425" i="2" a="1"/>
  <c r="M425" i="2" s="1"/>
  <c r="M439" i="2" a="1"/>
  <c r="M439" i="2" s="1"/>
  <c r="M454" i="2" a="1"/>
  <c r="M454" i="2" s="1"/>
  <c r="M481" i="2" a="1"/>
  <c r="M481" i="2" s="1"/>
  <c r="M496" i="2" a="1"/>
  <c r="M496" i="2" s="1"/>
  <c r="M525" i="2" a="1"/>
  <c r="M525" i="2" s="1"/>
  <c r="M566" i="2" a="1"/>
  <c r="M566" i="2" s="1"/>
  <c r="M580" i="2" a="1"/>
  <c r="M580" i="2" s="1"/>
  <c r="M608" i="2" a="1"/>
  <c r="M608" i="2" s="1"/>
  <c r="M636" i="2" a="1"/>
  <c r="M636" i="2" s="1"/>
  <c r="M650" i="2" a="1"/>
  <c r="M650" i="2" s="1"/>
  <c r="M664" i="2" a="1"/>
  <c r="M664" i="2" s="1"/>
  <c r="M678" i="2" a="1"/>
  <c r="M678" i="2" s="1"/>
  <c r="M692" i="2" a="1"/>
  <c r="M692" i="2" s="1"/>
  <c r="M706" i="2" a="1"/>
  <c r="M706" i="2" s="1"/>
  <c r="M734" i="2" a="1"/>
  <c r="M734" i="2" s="1"/>
  <c r="M747" i="2" a="1"/>
  <c r="M747" i="2" s="1"/>
  <c r="M761" i="2" a="1"/>
  <c r="M761" i="2" s="1"/>
  <c r="M776" i="2" a="1"/>
  <c r="M776" i="2" s="1"/>
  <c r="M789" i="2" a="1"/>
  <c r="M789" i="2" s="1"/>
  <c r="M803" i="2" a="1"/>
  <c r="M803" i="2" s="1"/>
  <c r="M846" i="2" a="1"/>
  <c r="M846" i="2" s="1"/>
  <c r="M859" i="2" a="1"/>
  <c r="M859" i="2" s="1"/>
  <c r="M873" i="2" a="1"/>
  <c r="M873" i="2" s="1"/>
  <c r="M886" i="2" a="1"/>
  <c r="M886" i="2" s="1"/>
  <c r="M899" i="2" a="1"/>
  <c r="M899" i="2" s="1"/>
  <c r="M927" i="2" a="1"/>
  <c r="M927" i="2" s="1"/>
  <c r="M942" i="2" a="1"/>
  <c r="M942" i="2" s="1"/>
  <c r="M956" i="2" a="1"/>
  <c r="M956" i="2" s="1"/>
  <c r="M970" i="2" a="1"/>
  <c r="M970" i="2" s="1"/>
  <c r="M998" i="2" a="1"/>
  <c r="M998" i="2" s="1"/>
  <c r="M5" i="2" a="1"/>
  <c r="M5" i="2" s="1"/>
  <c r="M33" i="2" a="1"/>
  <c r="M33" i="2" s="1"/>
  <c r="M46" i="2" a="1"/>
  <c r="M46" i="2" s="1"/>
  <c r="M73" i="2" a="1"/>
  <c r="M73" i="2" s="1"/>
  <c r="M87" i="2" a="1"/>
  <c r="M87" i="2" s="1"/>
  <c r="M115" i="2" a="1"/>
  <c r="M115" i="2" s="1"/>
  <c r="M140" i="2" a="1"/>
  <c r="M140" i="2" s="1"/>
  <c r="M154" i="2" a="1"/>
  <c r="M154" i="2" s="1"/>
  <c r="M167" i="2" a="1"/>
  <c r="M167" i="2" s="1"/>
  <c r="M180" i="2" a="1"/>
  <c r="M180" i="2" s="1"/>
  <c r="M195" i="2" a="1"/>
  <c r="M195" i="2" s="1"/>
  <c r="M220" i="2" a="1"/>
  <c r="M220" i="2" s="1"/>
  <c r="M235" i="2" a="1"/>
  <c r="M235" i="2" s="1"/>
  <c r="M247" i="2" a="1"/>
  <c r="M247" i="2" s="1"/>
  <c r="M275" i="2" a="1"/>
  <c r="M275" i="2" s="1"/>
  <c r="M288" i="2" a="1"/>
  <c r="M288" i="2" s="1"/>
  <c r="M316" i="2" a="1"/>
  <c r="M316" i="2" s="1"/>
  <c r="M328" i="2" a="1"/>
  <c r="M328" i="2" s="1"/>
  <c r="M341" i="2" a="1"/>
  <c r="M341" i="2" s="1"/>
  <c r="M370" i="2" a="1"/>
  <c r="M370" i="2" s="1"/>
  <c r="M384" i="2" a="1"/>
  <c r="M384" i="2" s="1"/>
  <c r="M411" i="2" a="1"/>
  <c r="M411" i="2" s="1"/>
  <c r="M426" i="2" a="1"/>
  <c r="M426" i="2" s="1"/>
  <c r="M440" i="2" a="1"/>
  <c r="M440" i="2" s="1"/>
  <c r="M455" i="2" a="1"/>
  <c r="M455" i="2" s="1"/>
  <c r="M468" i="2" a="1"/>
  <c r="M468" i="2" s="1"/>
  <c r="M511" i="2" a="1"/>
  <c r="M511" i="2" s="1"/>
  <c r="M539" i="2" a="1"/>
  <c r="M539" i="2" s="1"/>
  <c r="M552" i="2" a="1"/>
  <c r="M552" i="2" s="1"/>
  <c r="M567" i="2" a="1"/>
  <c r="M567" i="2" s="1"/>
  <c r="M581" i="2" a="1"/>
  <c r="M581" i="2" s="1"/>
  <c r="M596" i="2" a="1"/>
  <c r="M596" i="2" s="1"/>
  <c r="M622" i="2" a="1"/>
  <c r="M622" i="2" s="1"/>
  <c r="M651" i="2" a="1"/>
  <c r="M651" i="2" s="1"/>
  <c r="M665" i="2" a="1"/>
  <c r="M665" i="2" s="1"/>
  <c r="M679" i="2" a="1"/>
  <c r="M679" i="2" s="1"/>
  <c r="M693" i="2" a="1"/>
  <c r="M693" i="2" s="1"/>
  <c r="M720" i="2" a="1"/>
  <c r="M720" i="2" s="1"/>
  <c r="M735" i="2" a="1"/>
  <c r="M735" i="2" s="1"/>
  <c r="M748" i="2" a="1"/>
  <c r="M748" i="2" s="1"/>
  <c r="M790" i="2" a="1"/>
  <c r="M790" i="2" s="1"/>
  <c r="M804" i="2" a="1"/>
  <c r="M804" i="2" s="1"/>
  <c r="M818" i="2" a="1"/>
  <c r="M818" i="2" s="1"/>
  <c r="M832" i="2" a="1"/>
  <c r="M832" i="2" s="1"/>
  <c r="M860" i="2" a="1"/>
  <c r="M860" i="2" s="1"/>
  <c r="M900" i="2" a="1"/>
  <c r="M900" i="2" s="1"/>
  <c r="M914" i="2" a="1"/>
  <c r="M914" i="2" s="1"/>
  <c r="M943" i="2" a="1"/>
  <c r="M943" i="2" s="1"/>
  <c r="M971" i="2" a="1"/>
  <c r="M971" i="2" s="1"/>
  <c r="M985" i="2" a="1"/>
  <c r="M985" i="2" s="1"/>
  <c r="M999" i="2" a="1"/>
  <c r="M999" i="2" s="1"/>
  <c r="M6" i="2" a="1"/>
  <c r="M6" i="2" s="1"/>
  <c r="M19" i="2" a="1"/>
  <c r="M19" i="2" s="1"/>
  <c r="M34" i="2" a="1"/>
  <c r="M34" i="2" s="1"/>
  <c r="M60" i="2" a="1"/>
  <c r="M60" i="2" s="1"/>
  <c r="M74" i="2" a="1"/>
  <c r="M74" i="2" s="1"/>
  <c r="M100" i="2" a="1"/>
  <c r="M100" i="2" s="1"/>
  <c r="M127" i="2" a="1"/>
  <c r="M127" i="2" s="1"/>
  <c r="M155" i="2" a="1"/>
  <c r="M155" i="2" s="1"/>
  <c r="M168" i="2" a="1"/>
  <c r="M168" i="2" s="1"/>
  <c r="M208" i="2" a="1"/>
  <c r="M208" i="2" s="1"/>
  <c r="M261" i="2" a="1"/>
  <c r="M261" i="2" s="1"/>
  <c r="M289" i="2" a="1"/>
  <c r="M289" i="2" s="1"/>
  <c r="M301" i="2" a="1"/>
  <c r="M301" i="2" s="1"/>
  <c r="M356" i="2" a="1"/>
  <c r="M356" i="2" s="1"/>
  <c r="M371" i="2" a="1"/>
  <c r="M371" i="2" s="1"/>
  <c r="M385" i="2" a="1"/>
  <c r="M385" i="2" s="1"/>
  <c r="M399" i="2" a="1"/>
  <c r="M399" i="2" s="1"/>
  <c r="M8" i="2" a="1"/>
  <c r="M8" i="2" s="1"/>
  <c r="M21" i="2" a="1"/>
  <c r="M21" i="2" s="1"/>
  <c r="M36" i="2" a="1"/>
  <c r="M36" i="2" s="1"/>
  <c r="M48" i="2" a="1"/>
  <c r="M48" i="2" s="1"/>
  <c r="M76" i="2" a="1"/>
  <c r="M76" i="2" s="1"/>
  <c r="M102" i="2" a="1"/>
  <c r="M102" i="2" s="1"/>
  <c r="M117" i="2" a="1"/>
  <c r="M117" i="2" s="1"/>
  <c r="M129" i="2" a="1"/>
  <c r="M129" i="2" s="1"/>
  <c r="M142" i="2" a="1"/>
  <c r="M142" i="2" s="1"/>
  <c r="M170" i="2" a="1"/>
  <c r="M170" i="2" s="1"/>
  <c r="M182" i="2" a="1"/>
  <c r="M182" i="2" s="1"/>
  <c r="M210" i="2" a="1"/>
  <c r="M210" i="2" s="1"/>
  <c r="M222" i="2" a="1"/>
  <c r="M222" i="2" s="1"/>
  <c r="M237" i="2" a="1"/>
  <c r="M237" i="2" s="1"/>
  <c r="M250" i="2" a="1"/>
  <c r="M250" i="2" s="1"/>
  <c r="M263" i="2" a="1"/>
  <c r="M263" i="2" s="1"/>
  <c r="M277" i="2" a="1"/>
  <c r="M277" i="2" s="1"/>
  <c r="M304" i="2" a="1"/>
  <c r="M304" i="2" s="1"/>
  <c r="M318" i="2" a="1"/>
  <c r="M318" i="2" s="1"/>
  <c r="M330" i="2" a="1"/>
  <c r="M330" i="2" s="1"/>
  <c r="M344" i="2" a="1"/>
  <c r="M344" i="2" s="1"/>
  <c r="M373" i="2" a="1"/>
  <c r="M373" i="2" s="1"/>
  <c r="M387" i="2" a="1"/>
  <c r="M387" i="2" s="1"/>
  <c r="M414" i="2" a="1"/>
  <c r="M414" i="2" s="1"/>
  <c r="M429" i="2" a="1"/>
  <c r="M429" i="2" s="1"/>
  <c r="M442" i="2" a="1"/>
  <c r="M442" i="2" s="1"/>
  <c r="M485" i="2" a="1"/>
  <c r="M485" i="2" s="1"/>
  <c r="M515" i="2" a="1"/>
  <c r="M515" i="2" s="1"/>
  <c r="M528" i="2" a="1"/>
  <c r="M528" i="2" s="1"/>
  <c r="M24" i="2" a="1"/>
  <c r="M24" i="2" s="1"/>
  <c r="M38" i="2" a="1"/>
  <c r="M38" i="2" s="1"/>
  <c r="M65" i="2" a="1"/>
  <c r="M65" i="2" s="1"/>
  <c r="M78" i="2" a="1"/>
  <c r="M78" i="2" s="1"/>
  <c r="M92" i="2" a="1"/>
  <c r="M92" i="2" s="1"/>
  <c r="M119" i="2" a="1"/>
  <c r="M119" i="2" s="1"/>
  <c r="M132" i="2" a="1"/>
  <c r="M132" i="2" s="1"/>
  <c r="M146" i="2" a="1"/>
  <c r="M146" i="2" s="1"/>
  <c r="M173" i="2" a="1"/>
  <c r="M173" i="2" s="1"/>
  <c r="M212" i="2" a="1"/>
  <c r="M212" i="2" s="1"/>
  <c r="M226" i="2" a="1"/>
  <c r="M226" i="2" s="1"/>
  <c r="M239" i="2" a="1"/>
  <c r="M239" i="2" s="1"/>
  <c r="M253" i="2" a="1"/>
  <c r="M253" i="2" s="1"/>
  <c r="M294" i="2" a="1"/>
  <c r="M294" i="2" s="1"/>
  <c r="M320" i="2" a="1"/>
  <c r="M320" i="2" s="1"/>
  <c r="M334" i="2" a="1"/>
  <c r="M334" i="2" s="1"/>
  <c r="M347" i="2" a="1"/>
  <c r="M347" i="2" s="1"/>
  <c r="M361" i="2" a="1"/>
  <c r="M361" i="2" s="1"/>
  <c r="M376" i="2" a="1"/>
  <c r="M376" i="2" s="1"/>
  <c r="M389" i="2" a="1"/>
  <c r="M389" i="2" s="1"/>
  <c r="M403" i="2" a="1"/>
  <c r="M403" i="2" s="1"/>
  <c r="M446" i="2" a="1"/>
  <c r="M446" i="2" s="1"/>
  <c r="M474" i="2" a="1"/>
  <c r="M474" i="2" s="1"/>
  <c r="M31" i="2" a="1"/>
  <c r="M31" i="2" s="1"/>
  <c r="M118" i="2" a="1"/>
  <c r="M118" i="2" s="1"/>
  <c r="M165" i="2" a="1"/>
  <c r="M165" i="2" s="1"/>
  <c r="M209" i="2" a="1"/>
  <c r="M209" i="2" s="1"/>
  <c r="M299" i="2" a="1"/>
  <c r="M299" i="2" s="1"/>
  <c r="M343" i="2" a="1"/>
  <c r="M343" i="2" s="1"/>
  <c r="M388" i="2" a="1"/>
  <c r="M388" i="2" s="1"/>
  <c r="M488" i="2" a="1"/>
  <c r="M488" i="2" s="1"/>
  <c r="M517" i="2" a="1"/>
  <c r="M517" i="2" s="1"/>
  <c r="M543" i="2" a="1"/>
  <c r="M543" i="2" s="1"/>
  <c r="M571" i="2" a="1"/>
  <c r="M571" i="2" s="1"/>
  <c r="M598" i="2" a="1"/>
  <c r="M598" i="2" s="1"/>
  <c r="M623" i="2" a="1"/>
  <c r="M623" i="2" s="1"/>
  <c r="M648" i="2" a="1"/>
  <c r="M648" i="2" s="1"/>
  <c r="M670" i="2" a="1"/>
  <c r="M670" i="2" s="1"/>
  <c r="M697" i="2" a="1"/>
  <c r="M697" i="2" s="1"/>
  <c r="M723" i="2" a="1"/>
  <c r="M723" i="2" s="1"/>
  <c r="M749" i="2" a="1"/>
  <c r="M749" i="2" s="1"/>
  <c r="M822" i="2" a="1"/>
  <c r="M822" i="2" s="1"/>
  <c r="M850" i="2" a="1"/>
  <c r="M850" i="2" s="1"/>
  <c r="M875" i="2" a="1"/>
  <c r="M875" i="2" s="1"/>
  <c r="M901" i="2" a="1"/>
  <c r="M901" i="2" s="1"/>
  <c r="M926" i="2" a="1"/>
  <c r="M926" i="2" s="1"/>
  <c r="M975" i="2" a="1"/>
  <c r="M975" i="2" s="1"/>
  <c r="M834" i="2" a="1"/>
  <c r="M834" i="2" s="1"/>
  <c r="M131" i="2" a="1"/>
  <c r="M131" i="2" s="1"/>
  <c r="M35" i="2" a="1"/>
  <c r="M35" i="2" s="1"/>
  <c r="M169" i="2" a="1"/>
  <c r="M169" i="2" s="1"/>
  <c r="M252" i="2" a="1"/>
  <c r="M252" i="2" s="1"/>
  <c r="M302" i="2" a="1"/>
  <c r="M302" i="2" s="1"/>
  <c r="M345" i="2" a="1"/>
  <c r="M345" i="2" s="1"/>
  <c r="M430" i="2" a="1"/>
  <c r="M430" i="2" s="1"/>
  <c r="M459" i="2" a="1"/>
  <c r="M459" i="2" s="1"/>
  <c r="M490" i="2" a="1"/>
  <c r="M490" i="2" s="1"/>
  <c r="M544" i="2" a="1"/>
  <c r="M544" i="2" s="1"/>
  <c r="M624" i="2" a="1"/>
  <c r="M624" i="2" s="1"/>
  <c r="M649" i="2" a="1"/>
  <c r="M649" i="2" s="1"/>
  <c r="M672" i="2" a="1"/>
  <c r="M672" i="2" s="1"/>
  <c r="M724" i="2" a="1"/>
  <c r="M724" i="2" s="1"/>
  <c r="M777" i="2" a="1"/>
  <c r="M777" i="2" s="1"/>
  <c r="M823" i="2" a="1"/>
  <c r="M823" i="2" s="1"/>
  <c r="M851" i="2" a="1"/>
  <c r="M851" i="2" s="1"/>
  <c r="M876" i="2" a="1"/>
  <c r="M876" i="2" s="1"/>
  <c r="M950" i="2" a="1"/>
  <c r="M950" i="2" s="1"/>
  <c r="M976" i="2" a="1"/>
  <c r="M976" i="2" s="1"/>
  <c r="M77" i="2" a="1"/>
  <c r="M77" i="2" s="1"/>
  <c r="M125" i="2" a="1"/>
  <c r="M125" i="2" s="1"/>
  <c r="M259" i="2" a="1"/>
  <c r="M259" i="2" s="1"/>
  <c r="M303" i="2" a="1"/>
  <c r="M303" i="2" s="1"/>
  <c r="M346" i="2" a="1"/>
  <c r="M346" i="2" s="1"/>
  <c r="M392" i="2" a="1"/>
  <c r="M392" i="2" s="1"/>
  <c r="M461" i="2" a="1"/>
  <c r="M461" i="2" s="1"/>
  <c r="M495" i="2" a="1"/>
  <c r="M495" i="2" s="1"/>
  <c r="M523" i="2" a="1"/>
  <c r="M523" i="2" s="1"/>
  <c r="M572" i="2" a="1"/>
  <c r="M572" i="2" s="1"/>
  <c r="M599" i="2" a="1"/>
  <c r="M599" i="2" s="1"/>
  <c r="M625" i="2" a="1"/>
  <c r="M625" i="2" s="1"/>
  <c r="M677" i="2" a="1"/>
  <c r="M677" i="2" s="1"/>
  <c r="M698" i="2" a="1"/>
  <c r="M698" i="2" s="1"/>
  <c r="M725" i="2" a="1"/>
  <c r="M725" i="2" s="1"/>
  <c r="M750" i="2" a="1"/>
  <c r="M750" i="2" s="1"/>
  <c r="M802" i="2" a="1"/>
  <c r="M802" i="2" s="1"/>
  <c r="M826" i="2" a="1"/>
  <c r="M826" i="2" s="1"/>
  <c r="M902" i="2" a="1"/>
  <c r="M902" i="2" s="1"/>
  <c r="M928" i="2" a="1"/>
  <c r="M928" i="2" s="1"/>
  <c r="M357" i="2" a="1"/>
  <c r="M357" i="2" s="1"/>
  <c r="M314" i="2" a="1"/>
  <c r="M314" i="2" s="1"/>
  <c r="M401" i="2" a="1"/>
  <c r="M401" i="2" s="1"/>
  <c r="M438" i="2" a="1"/>
  <c r="M438" i="2" s="1"/>
  <c r="M499" i="2" a="1"/>
  <c r="M499" i="2" s="1"/>
  <c r="M527" i="2" a="1"/>
  <c r="M527" i="2" s="1"/>
  <c r="M579" i="2" a="1"/>
  <c r="M579" i="2" s="1"/>
  <c r="M602" i="2" a="1"/>
  <c r="M602" i="2" s="1"/>
  <c r="M655" i="2" a="1"/>
  <c r="M655" i="2" s="1"/>
  <c r="M707" i="2" a="1"/>
  <c r="M707" i="2" s="1"/>
  <c r="M732" i="2" a="1"/>
  <c r="M732" i="2" s="1"/>
  <c r="M753" i="2" a="1"/>
  <c r="M753" i="2" s="1"/>
  <c r="M807" i="2" a="1"/>
  <c r="M807" i="2" s="1"/>
  <c r="M858" i="2" a="1"/>
  <c r="M858" i="2" s="1"/>
  <c r="M881" i="2" a="1"/>
  <c r="M881" i="2" s="1"/>
  <c r="M932" i="2" a="1"/>
  <c r="M932" i="2" s="1"/>
  <c r="M984" i="2" a="1"/>
  <c r="M984" i="2" s="1"/>
  <c r="M47" i="2" a="1"/>
  <c r="M47" i="2" s="1"/>
  <c r="M90" i="2" a="1"/>
  <c r="M90" i="2" s="1"/>
  <c r="M181" i="2" a="1"/>
  <c r="M181" i="2" s="1"/>
  <c r="M223" i="2" a="1"/>
  <c r="M223" i="2" s="1"/>
  <c r="M359" i="2" a="1"/>
  <c r="M359" i="2" s="1"/>
  <c r="M211" i="2" a="1"/>
  <c r="M211" i="2" s="1"/>
  <c r="M128" i="2" a="1"/>
  <c r="M128" i="2" s="1"/>
  <c r="M171" i="2" a="1"/>
  <c r="M171" i="2" s="1"/>
  <c r="M305" i="2" a="1"/>
  <c r="M305" i="2" s="1"/>
  <c r="M397" i="2" a="1"/>
  <c r="M397" i="2" s="1"/>
  <c r="M431" i="2" a="1"/>
  <c r="M431" i="2" s="1"/>
  <c r="M524" i="2" a="1"/>
  <c r="M524" i="2" s="1"/>
  <c r="M550" i="2" a="1"/>
  <c r="M550" i="2" s="1"/>
  <c r="M573" i="2" a="1"/>
  <c r="M573" i="2" s="1"/>
  <c r="M626" i="2" a="1"/>
  <c r="M626" i="2" s="1"/>
  <c r="M652" i="2" a="1"/>
  <c r="M652" i="2" s="1"/>
  <c r="M700" i="2" a="1"/>
  <c r="M700" i="2" s="1"/>
  <c r="M751" i="2" a="1"/>
  <c r="M751" i="2" s="1"/>
  <c r="M778" i="2" a="1"/>
  <c r="M778" i="2" s="1"/>
  <c r="M805" i="2" a="1"/>
  <c r="M805" i="2" s="1"/>
  <c r="M852" i="2" a="1"/>
  <c r="M852" i="2" s="1"/>
  <c r="M877" i="2" a="1"/>
  <c r="M877" i="2" s="1"/>
  <c r="M903" i="2" a="1"/>
  <c r="M903" i="2" s="1"/>
  <c r="M929" i="2" a="1"/>
  <c r="M929" i="2" s="1"/>
  <c r="M955" i="2" a="1"/>
  <c r="M955" i="2" s="1"/>
  <c r="M978" i="2" a="1"/>
  <c r="M978" i="2" s="1"/>
  <c r="M88" i="2" a="1"/>
  <c r="M88" i="2" s="1"/>
  <c r="M221" i="2" a="1"/>
  <c r="M221" i="2" s="1"/>
  <c r="M306" i="2" a="1"/>
  <c r="M306" i="2" s="1"/>
  <c r="M498" i="2" a="1"/>
  <c r="M498" i="2" s="1"/>
  <c r="M553" i="2" a="1"/>
  <c r="M553" i="2" s="1"/>
  <c r="M680" i="2" a="1"/>
  <c r="M680" i="2" s="1"/>
  <c r="M752" i="2" a="1"/>
  <c r="M752" i="2" s="1"/>
  <c r="M806" i="2" a="1"/>
  <c r="M806" i="2" s="1"/>
  <c r="M904" i="2" a="1"/>
  <c r="M904" i="2" s="1"/>
  <c r="M89" i="2" a="1"/>
  <c r="M89" i="2" s="1"/>
  <c r="M37" i="2" a="1"/>
  <c r="M37" i="2" s="1"/>
  <c r="M84" i="2" a="1"/>
  <c r="M84" i="2" s="1"/>
  <c r="M218" i="2" a="1"/>
  <c r="M218" i="2" s="1"/>
  <c r="M262" i="2" a="1"/>
  <c r="M262" i="2" s="1"/>
  <c r="M353" i="2" a="1"/>
  <c r="M353" i="2" s="1"/>
  <c r="M434" i="2" a="1"/>
  <c r="M434" i="2" s="1"/>
  <c r="M467" i="2" a="1"/>
  <c r="M467" i="2" s="1"/>
  <c r="M497" i="2" a="1"/>
  <c r="M497" i="2" s="1"/>
  <c r="M526" i="2" a="1"/>
  <c r="M526" i="2" s="1"/>
  <c r="M551" i="2" a="1"/>
  <c r="M551" i="2" s="1"/>
  <c r="M600" i="2" a="1"/>
  <c r="M600" i="2" s="1"/>
  <c r="M627" i="2" a="1"/>
  <c r="M627" i="2" s="1"/>
  <c r="M653" i="2" a="1"/>
  <c r="M653" i="2" s="1"/>
  <c r="M705" i="2" a="1"/>
  <c r="M705" i="2" s="1"/>
  <c r="M726" i="2" a="1"/>
  <c r="M726" i="2" s="1"/>
  <c r="M831" i="2" a="1"/>
  <c r="M831" i="2" s="1"/>
  <c r="M854" i="2" a="1"/>
  <c r="M854" i="2" s="1"/>
  <c r="M930" i="2" a="1"/>
  <c r="M930" i="2" s="1"/>
  <c r="M957" i="2" a="1"/>
  <c r="M957" i="2" s="1"/>
  <c r="M983" i="2" a="1"/>
  <c r="M983" i="2" s="1"/>
  <c r="M172" i="2" a="1"/>
  <c r="M172" i="2" s="1"/>
  <c r="M264" i="2" a="1"/>
  <c r="M264" i="2" s="1"/>
  <c r="M400" i="2" a="1"/>
  <c r="M400" i="2" s="1"/>
  <c r="M469" i="2" a="1"/>
  <c r="M469" i="2" s="1"/>
  <c r="M654" i="2" a="1"/>
  <c r="M654" i="2" s="1"/>
  <c r="M728" i="2" a="1"/>
  <c r="M728" i="2" s="1"/>
  <c r="M779" i="2" a="1"/>
  <c r="M779" i="2" s="1"/>
  <c r="M833" i="2" a="1"/>
  <c r="M833" i="2" s="1"/>
  <c r="M878" i="2" a="1"/>
  <c r="M878" i="2" s="1"/>
  <c r="M931" i="2" a="1"/>
  <c r="M931" i="2" s="1"/>
  <c r="M43" i="2" a="1"/>
  <c r="M43" i="2" s="1"/>
  <c r="M130" i="2" a="1"/>
  <c r="M130" i="2" s="1"/>
  <c r="M265" i="2" a="1"/>
  <c r="M265" i="2" s="1"/>
  <c r="M358" i="2" a="1"/>
  <c r="M358" i="2" s="1"/>
  <c r="M554" i="2" a="1"/>
  <c r="M554" i="2" s="1"/>
  <c r="M628" i="2" a="1"/>
  <c r="M628" i="2" s="1"/>
  <c r="M780" i="2" a="1"/>
  <c r="M780" i="2" s="1"/>
  <c r="M958" i="2" a="1"/>
  <c r="M958" i="2" s="1"/>
  <c r="M7" i="2" a="1"/>
  <c r="M7" i="2" s="1"/>
  <c r="M49" i="2" a="1"/>
  <c r="M49" i="2" s="1"/>
  <c r="M91" i="2" a="1"/>
  <c r="M91" i="2" s="1"/>
  <c r="M141" i="2" a="1"/>
  <c r="M141" i="2" s="1"/>
  <c r="M183" i="2" a="1"/>
  <c r="M183" i="2" s="1"/>
  <c r="M225" i="2" a="1"/>
  <c r="M225" i="2" s="1"/>
  <c r="M276" i="2" a="1"/>
  <c r="M276" i="2" s="1"/>
  <c r="M360" i="2" a="1"/>
  <c r="M360" i="2" s="1"/>
  <c r="M472" i="2" a="1"/>
  <c r="M472" i="2" s="1"/>
  <c r="M501" i="2" a="1"/>
  <c r="M501" i="2" s="1"/>
  <c r="M556" i="2" a="1"/>
  <c r="M556" i="2" s="1"/>
  <c r="M583" i="2" a="1"/>
  <c r="M583" i="2" s="1"/>
  <c r="M609" i="2" a="1"/>
  <c r="M609" i="2" s="1"/>
  <c r="M635" i="2" a="1"/>
  <c r="M635" i="2" s="1"/>
  <c r="M657" i="2" a="1"/>
  <c r="M657" i="2" s="1"/>
  <c r="M682" i="2" a="1"/>
  <c r="M682" i="2" s="1"/>
  <c r="M710" i="2" a="1"/>
  <c r="M710" i="2" s="1"/>
  <c r="M736" i="2" a="1"/>
  <c r="M736" i="2" s="1"/>
  <c r="M760" i="2" a="1"/>
  <c r="M760" i="2" s="1"/>
  <c r="M784" i="2" a="1"/>
  <c r="M784" i="2" s="1"/>
  <c r="M836" i="2" a="1"/>
  <c r="M836" i="2" s="1"/>
  <c r="M862" i="2" a="1"/>
  <c r="M862" i="2" s="1"/>
  <c r="M887" i="2" a="1"/>
  <c r="M887" i="2" s="1"/>
  <c r="M912" i="2" a="1"/>
  <c r="M912" i="2" s="1"/>
  <c r="M934" i="2" a="1"/>
  <c r="M934" i="2" s="1"/>
  <c r="M961" i="2" a="1"/>
  <c r="M961" i="2" s="1"/>
  <c r="M987" i="2" a="1"/>
  <c r="M987" i="2" s="1"/>
  <c r="M51" i="2" a="1"/>
  <c r="M51" i="2" s="1"/>
  <c r="M185" i="2" a="1"/>
  <c r="M185" i="2" s="1"/>
  <c r="M444" i="2" a="1"/>
  <c r="M444" i="2" s="1"/>
  <c r="M585" i="2" a="1"/>
  <c r="M585" i="2" s="1"/>
  <c r="M711" i="2" a="1"/>
  <c r="M711" i="2" s="1"/>
  <c r="M811" i="2" a="1"/>
  <c r="M811" i="2" s="1"/>
  <c r="M940" i="2" a="1"/>
  <c r="M940" i="2" s="1"/>
  <c r="M278" i="2" a="1"/>
  <c r="M278" i="2" s="1"/>
  <c r="M738" i="2" a="1"/>
  <c r="M738" i="2" s="1"/>
  <c r="M915" i="2" a="1"/>
  <c r="M915" i="2" s="1"/>
  <c r="M50" i="2" a="1"/>
  <c r="M50" i="2" s="1"/>
  <c r="M98" i="2" a="1"/>
  <c r="M98" i="2" s="1"/>
  <c r="M184" i="2" a="1"/>
  <c r="M184" i="2" s="1"/>
  <c r="M232" i="2" a="1"/>
  <c r="M232" i="2" s="1"/>
  <c r="M319" i="2" a="1"/>
  <c r="M319" i="2" s="1"/>
  <c r="M368" i="2" a="1"/>
  <c r="M368" i="2" s="1"/>
  <c r="M409" i="2" a="1"/>
  <c r="M409" i="2" s="1"/>
  <c r="M443" i="2" a="1"/>
  <c r="M443" i="2" s="1"/>
  <c r="M473" i="2" a="1"/>
  <c r="M473" i="2" s="1"/>
  <c r="M502" i="2" a="1"/>
  <c r="M502" i="2" s="1"/>
  <c r="M530" i="2" a="1"/>
  <c r="M530" i="2" s="1"/>
  <c r="M557" i="2" a="1"/>
  <c r="M557" i="2" s="1"/>
  <c r="M584" i="2" a="1"/>
  <c r="M584" i="2" s="1"/>
  <c r="M610" i="2" a="1"/>
  <c r="M610" i="2" s="1"/>
  <c r="M683" i="2" a="1"/>
  <c r="M683" i="2" s="1"/>
  <c r="M762" i="2" a="1"/>
  <c r="M762" i="2" s="1"/>
  <c r="M788" i="2" a="1"/>
  <c r="M788" i="2" s="1"/>
  <c r="M809" i="2" a="1"/>
  <c r="M809" i="2" s="1"/>
  <c r="M863" i="2" a="1"/>
  <c r="M863" i="2" s="1"/>
  <c r="M913" i="2" a="1"/>
  <c r="M913" i="2" s="1"/>
  <c r="M936" i="2" a="1"/>
  <c r="M936" i="2" s="1"/>
  <c r="M962" i="2" a="1"/>
  <c r="M962" i="2" s="1"/>
  <c r="M143" i="2" a="1"/>
  <c r="M143" i="2" s="1"/>
  <c r="M236" i="2" a="1"/>
  <c r="M236" i="2" s="1"/>
  <c r="M412" i="2" a="1"/>
  <c r="M412" i="2" s="1"/>
  <c r="M505" i="2" a="1"/>
  <c r="M505" i="2" s="1"/>
  <c r="M533" i="2" a="1"/>
  <c r="M533" i="2" s="1"/>
  <c r="M558" i="2" a="1"/>
  <c r="M558" i="2" s="1"/>
  <c r="M637" i="2" a="1"/>
  <c r="M637" i="2" s="1"/>
  <c r="M662" i="2" a="1"/>
  <c r="M662" i="2" s="1"/>
  <c r="M684" i="2" a="1"/>
  <c r="M684" i="2" s="1"/>
  <c r="M737" i="2" a="1"/>
  <c r="M737" i="2" s="1"/>
  <c r="M763" i="2" a="1"/>
  <c r="M763" i="2" s="1"/>
  <c r="M837" i="2" a="1"/>
  <c r="M837" i="2" s="1"/>
  <c r="M888" i="2" a="1"/>
  <c r="M888" i="2" s="1"/>
  <c r="M963" i="2" a="1"/>
  <c r="M963" i="2" s="1"/>
  <c r="M988" i="2" a="1"/>
  <c r="M988" i="2" s="1"/>
  <c r="M192" i="2" a="1"/>
  <c r="M192" i="2" s="1"/>
  <c r="M687" i="2" a="1"/>
  <c r="M687" i="2" s="1"/>
  <c r="M791" i="2" a="1"/>
  <c r="M791" i="2" s="1"/>
  <c r="M816" i="2" a="1"/>
  <c r="M816" i="2" s="1"/>
  <c r="M864" i="2" a="1"/>
  <c r="M864" i="2" s="1"/>
  <c r="M941" i="2" a="1"/>
  <c r="M941" i="2" s="1"/>
  <c r="M989" i="2" a="1"/>
  <c r="M989" i="2" s="1"/>
  <c r="M9" i="2" a="1"/>
  <c r="M9" i="2" s="1"/>
  <c r="M58" i="2" a="1"/>
  <c r="M58" i="2" s="1"/>
  <c r="M101" i="2" a="1"/>
  <c r="M101" i="2" s="1"/>
  <c r="M144" i="2" a="1"/>
  <c r="M144" i="2" s="1"/>
  <c r="M326" i="2" a="1"/>
  <c r="M326" i="2" s="1"/>
  <c r="M372" i="2" a="1"/>
  <c r="M372" i="2" s="1"/>
  <c r="M413" i="2" a="1"/>
  <c r="M413" i="2" s="1"/>
  <c r="M445" i="2" a="1"/>
  <c r="M445" i="2" s="1"/>
  <c r="M480" i="2" a="1"/>
  <c r="M480" i="2" s="1"/>
  <c r="M509" i="2" a="1"/>
  <c r="M509" i="2" s="1"/>
  <c r="M537" i="2" a="1"/>
  <c r="M537" i="2" s="1"/>
  <c r="M611" i="2" a="1"/>
  <c r="M611" i="2" s="1"/>
  <c r="M663" i="2" a="1"/>
  <c r="M663" i="2" s="1"/>
  <c r="M712" i="2" a="1"/>
  <c r="M712" i="2" s="1"/>
  <c r="M764" i="2" a="1"/>
  <c r="M764" i="2" s="1"/>
  <c r="M889" i="2" a="1"/>
  <c r="M889" i="2" s="1"/>
  <c r="M20" i="2" a="1"/>
  <c r="M20" i="2" s="1"/>
  <c r="M62" i="2" a="1"/>
  <c r="M62" i="2" s="1"/>
  <c r="M105" i="2" a="1"/>
  <c r="M105" i="2" s="1"/>
  <c r="M198" i="2" a="1"/>
  <c r="M198" i="2" s="1"/>
  <c r="M331" i="2" a="1"/>
  <c r="M331" i="2" s="1"/>
  <c r="M417" i="2" a="1"/>
  <c r="M417" i="2" s="1"/>
  <c r="M453" i="2" a="1"/>
  <c r="M453" i="2" s="1"/>
  <c r="M483" i="2" a="1"/>
  <c r="M483" i="2" s="1"/>
  <c r="M513" i="2" a="1"/>
  <c r="M513" i="2" s="1"/>
  <c r="M540" i="2" a="1"/>
  <c r="M540" i="2" s="1"/>
  <c r="M613" i="2" a="1"/>
  <c r="M613" i="2" s="1"/>
  <c r="M640" i="2" a="1"/>
  <c r="M640" i="2" s="1"/>
  <c r="M667" i="2" a="1"/>
  <c r="M667" i="2" s="1"/>
  <c r="M694" i="2" a="1"/>
  <c r="M694" i="2" s="1"/>
  <c r="M766" i="2" a="1"/>
  <c r="M766" i="2" s="1"/>
  <c r="M794" i="2" a="1"/>
  <c r="M794" i="2" s="1"/>
  <c r="M819" i="2" a="1"/>
  <c r="M819" i="2" s="1"/>
  <c r="M845" i="2" a="1"/>
  <c r="M845" i="2" s="1"/>
  <c r="M867" i="2" a="1"/>
  <c r="M867" i="2" s="1"/>
  <c r="M917" i="2" a="1"/>
  <c r="M917" i="2" s="1"/>
  <c r="M972" i="2" a="1"/>
  <c r="M972" i="2" s="1"/>
  <c r="M199" i="2" a="1"/>
  <c r="M199" i="2" s="1"/>
  <c r="M428" i="2" a="1"/>
  <c r="M428" i="2" s="1"/>
  <c r="M512" i="2" a="1"/>
  <c r="M512" i="2" s="1"/>
  <c r="M570" i="2" a="1"/>
  <c r="M570" i="2" s="1"/>
  <c r="M639" i="2" a="1"/>
  <c r="M639" i="2" s="1"/>
  <c r="M891" i="2" a="1"/>
  <c r="M891" i="2" s="1"/>
  <c r="M947" i="2" a="1"/>
  <c r="M947" i="2" s="1"/>
  <c r="M224" i="2" a="1"/>
  <c r="M224" i="2" s="1"/>
  <c r="M644" i="2" a="1"/>
  <c r="M644" i="2" s="1"/>
  <c r="M898" i="2" a="1"/>
  <c r="M898" i="2" s="1"/>
  <c r="M848" i="2" a="1"/>
  <c r="M848" i="2" s="1"/>
  <c r="M919" i="2" a="1"/>
  <c r="M919" i="2" s="1"/>
  <c r="M991" i="2" a="1"/>
  <c r="M991" i="2" s="1"/>
  <c r="M75" i="2" a="1"/>
  <c r="M75" i="2" s="1"/>
  <c r="M329" i="2" a="1"/>
  <c r="M329" i="2" s="1"/>
  <c r="M514" i="2" a="1"/>
  <c r="M514" i="2" s="1"/>
  <c r="M708" i="2" a="1"/>
  <c r="M708" i="2" s="1"/>
  <c r="M767" i="2" a="1"/>
  <c r="M767" i="2" s="1"/>
  <c r="M835" i="2" a="1"/>
  <c r="M835" i="2" s="1"/>
  <c r="M892" i="2" a="1"/>
  <c r="M892" i="2" s="1"/>
  <c r="M959" i="2" a="1"/>
  <c r="M959" i="2" s="1"/>
  <c r="M104" i="2" a="1"/>
  <c r="M104" i="2" s="1"/>
  <c r="M333" i="2" a="1"/>
  <c r="M333" i="2" s="1"/>
  <c r="M587" i="2" a="1"/>
  <c r="M587" i="2" s="1"/>
  <c r="M775" i="2" a="1"/>
  <c r="M775" i="2" s="1"/>
  <c r="M844" i="2" a="1"/>
  <c r="M844" i="2" s="1"/>
  <c r="M969" i="2" a="1"/>
  <c r="M969" i="2" s="1"/>
  <c r="M721" i="2" a="1"/>
  <c r="M721" i="2" s="1"/>
  <c r="M386" i="2" a="1"/>
  <c r="M386" i="2" s="1"/>
  <c r="M739" i="2" a="1"/>
  <c r="M739" i="2" s="1"/>
  <c r="M922" i="2" a="1"/>
  <c r="M922" i="2" s="1"/>
  <c r="M415" i="2" a="1"/>
  <c r="M415" i="2" s="1"/>
  <c r="M441" i="2" a="1"/>
  <c r="M441" i="2" s="1"/>
  <c r="M582" i="2" a="1"/>
  <c r="M582" i="2" s="1"/>
  <c r="M641" i="2" a="1"/>
  <c r="M641" i="2" s="1"/>
  <c r="M709" i="2" a="1"/>
  <c r="M709" i="2" s="1"/>
  <c r="M768" i="2" a="1"/>
  <c r="M768" i="2" s="1"/>
  <c r="M894" i="2" a="1"/>
  <c r="M894" i="2" s="1"/>
  <c r="M960" i="2" a="1"/>
  <c r="M960" i="2" s="1"/>
  <c r="M103" i="2" a="1"/>
  <c r="M103" i="2" s="1"/>
  <c r="M332" i="2" a="1"/>
  <c r="M332" i="2" s="1"/>
  <c r="M516" i="2" a="1"/>
  <c r="M516" i="2" s="1"/>
  <c r="M586" i="2" a="1"/>
  <c r="M586" i="2" s="1"/>
  <c r="M713" i="2" a="1"/>
  <c r="M713" i="2" s="1"/>
  <c r="M770" i="2" a="1"/>
  <c r="M770" i="2" s="1"/>
  <c r="M840" i="2" a="1"/>
  <c r="M840" i="2" s="1"/>
  <c r="M968" i="2" a="1"/>
  <c r="M968" i="2" s="1"/>
  <c r="M452" i="2" a="1"/>
  <c r="M452" i="2" s="1"/>
  <c r="M796" i="2" a="1"/>
  <c r="M796" i="2" s="1"/>
  <c r="M112" i="2" a="1"/>
  <c r="M112" i="2" s="1"/>
  <c r="M456" i="2" a="1"/>
  <c r="M456" i="2" s="1"/>
  <c r="M594" i="2" a="1"/>
  <c r="M594" i="2" s="1"/>
  <c r="M656" i="2" a="1"/>
  <c r="M656" i="2" s="1"/>
  <c r="M719" i="2" a="1"/>
  <c r="M719" i="2" s="1"/>
  <c r="M781" i="2" a="1"/>
  <c r="M781" i="2" s="1"/>
  <c r="M847" i="2" a="1"/>
  <c r="M847" i="2" s="1"/>
  <c r="M905" i="2" a="1"/>
  <c r="M905" i="2" s="1"/>
  <c r="M973" i="2" a="1"/>
  <c r="M973" i="2" s="1"/>
  <c r="M116" i="2" a="1"/>
  <c r="M116" i="2" s="1"/>
  <c r="M238" i="2" a="1"/>
  <c r="M238" i="2" s="1"/>
  <c r="M342" i="2" a="1"/>
  <c r="M342" i="2" s="1"/>
  <c r="M529" i="2" a="1"/>
  <c r="M529" i="2" s="1"/>
  <c r="M595" i="2" a="1"/>
  <c r="M595" i="2" s="1"/>
  <c r="M907" i="2" a="1"/>
  <c r="M907" i="2" s="1"/>
  <c r="M245" i="2" a="1"/>
  <c r="M245" i="2" s="1"/>
  <c r="M457" i="2" a="1"/>
  <c r="M457" i="2" s="1"/>
  <c r="M538" i="2" a="1"/>
  <c r="M538" i="2" s="1"/>
  <c r="M597" i="2" a="1"/>
  <c r="M597" i="2" s="1"/>
  <c r="M666" i="2" a="1"/>
  <c r="M666" i="2" s="1"/>
  <c r="M792" i="2" a="1"/>
  <c r="M792" i="2" s="1"/>
  <c r="M916" i="2" a="1"/>
  <c r="M916" i="2" s="1"/>
  <c r="M974" i="2" a="1"/>
  <c r="M974" i="2" s="1"/>
  <c r="M156" i="2" a="1"/>
  <c r="M156" i="2" s="1"/>
  <c r="M797" i="2" a="1"/>
  <c r="M797" i="2" s="1"/>
  <c r="M486" i="2" a="1"/>
  <c r="M486" i="2" s="1"/>
  <c r="M290" i="2" a="1"/>
  <c r="M290" i="2" s="1"/>
  <c r="M872" i="2" a="1"/>
  <c r="M872" i="2" s="1"/>
  <c r="M2" i="2" a="1"/>
  <c r="M2" i="2" s="1"/>
  <c r="M248" i="2" a="1"/>
  <c r="M248" i="2" s="1"/>
  <c r="M374" i="2" a="1"/>
  <c r="M374" i="2" s="1"/>
  <c r="M458" i="2" a="1"/>
  <c r="M458" i="2" s="1"/>
  <c r="M722" i="2" a="1"/>
  <c r="M722" i="2" s="1"/>
  <c r="M793" i="2" a="1"/>
  <c r="M793" i="2" s="1"/>
  <c r="M849" i="2" a="1"/>
  <c r="M849" i="2" s="1"/>
  <c r="M542" i="2" a="1"/>
  <c r="M542" i="2" s="1"/>
  <c r="M286" i="2" a="1"/>
  <c r="M286" i="2" s="1"/>
  <c r="M808" i="2" a="1"/>
  <c r="M808" i="2" s="1"/>
  <c r="M560" i="2" a="1"/>
  <c r="M560" i="2" s="1"/>
  <c r="M874" i="2" a="1"/>
  <c r="M874" i="2" s="1"/>
  <c r="M10" i="2" a="1"/>
  <c r="M10" i="2" s="1"/>
  <c r="M249" i="2" a="1"/>
  <c r="M249" i="2" s="1"/>
  <c r="M375" i="2" a="1"/>
  <c r="M375" i="2" s="1"/>
  <c r="M470" i="2" a="1"/>
  <c r="M470" i="2" s="1"/>
  <c r="M607" i="2" a="1"/>
  <c r="M607" i="2" s="1"/>
  <c r="M733" i="2" a="1"/>
  <c r="M733" i="2" s="1"/>
  <c r="M795" i="2" a="1"/>
  <c r="M795" i="2" s="1"/>
  <c r="M861" i="2" a="1"/>
  <c r="M861" i="2" s="1"/>
  <c r="M986" i="2" a="1"/>
  <c r="M986" i="2" s="1"/>
  <c r="M482" i="2" a="1"/>
  <c r="M482" i="2" s="1"/>
  <c r="M617" i="2" a="1"/>
  <c r="M617" i="2" s="1"/>
  <c r="M817" i="2" a="1"/>
  <c r="M817" i="2" s="1"/>
  <c r="M17" i="2" a="1"/>
  <c r="M17" i="2" s="1"/>
  <c r="M145" i="2" a="1"/>
  <c r="M145" i="2" s="1"/>
  <c r="M251" i="2" a="1"/>
  <c r="M251" i="2" s="1"/>
  <c r="M471" i="2" a="1"/>
  <c r="M471" i="2" s="1"/>
  <c r="M541" i="2" a="1"/>
  <c r="M541" i="2" s="1"/>
  <c r="M668" i="2" a="1"/>
  <c r="M668" i="2" s="1"/>
  <c r="M918" i="2" a="1"/>
  <c r="M918" i="2" s="1"/>
  <c r="M266" i="2" a="1"/>
  <c r="M266" i="2" s="1"/>
  <c r="M669" i="2" a="1"/>
  <c r="M669" i="2" s="1"/>
  <c r="M990" i="2" a="1"/>
  <c r="M990" i="2" s="1"/>
  <c r="M272" i="2" a="1"/>
  <c r="M272" i="2" s="1"/>
  <c r="M612" i="2" a="1"/>
  <c r="M612" i="2" s="1"/>
  <c r="M865" i="2" a="1"/>
  <c r="M865" i="2" s="1"/>
  <c r="M402" i="2" a="1"/>
  <c r="M402" i="2" s="1"/>
  <c r="M158" i="2" a="1"/>
  <c r="M158" i="2" s="1"/>
  <c r="M1000" i="2" a="1"/>
  <c r="M1000" i="2" s="1"/>
  <c r="M22" i="2" a="1"/>
  <c r="M22" i="2" s="1"/>
  <c r="M157" i="2" a="1"/>
  <c r="M157" i="2" s="1"/>
  <c r="M279" i="2" a="1"/>
  <c r="M279" i="2" s="1"/>
  <c r="M484" i="2" a="1"/>
  <c r="M484" i="2" s="1"/>
  <c r="M555" i="2" a="1"/>
  <c r="M555" i="2" s="1"/>
  <c r="M614" i="2" a="1"/>
  <c r="M614" i="2" s="1"/>
  <c r="M681" i="2" a="1"/>
  <c r="M681" i="2" s="1"/>
  <c r="M741" i="2" a="1"/>
  <c r="M741" i="2" s="1"/>
  <c r="M933" i="2" a="1"/>
  <c r="M933" i="2" s="1"/>
  <c r="M997" i="2" a="1"/>
  <c r="M997" i="2" s="1"/>
  <c r="M23" i="2" a="1"/>
  <c r="M23" i="2" s="1"/>
  <c r="M746" i="2" a="1"/>
  <c r="M746" i="2" s="1"/>
  <c r="M487" i="2" a="1"/>
  <c r="M487" i="2" s="1"/>
  <c r="M291" i="2" a="1"/>
  <c r="M291" i="2" s="1"/>
  <c r="M416" i="2" a="1"/>
  <c r="M416" i="2" s="1"/>
  <c r="M565" i="2" a="1"/>
  <c r="M565" i="2" s="1"/>
  <c r="M621" i="2" a="1"/>
  <c r="M621" i="2" s="1"/>
  <c r="M691" i="2" a="1"/>
  <c r="M691" i="2" s="1"/>
  <c r="M944" i="2" a="1"/>
  <c r="M944" i="2" s="1"/>
  <c r="M1001" i="2" a="1"/>
  <c r="M1001" i="2" s="1"/>
  <c r="M61" i="2" a="1"/>
  <c r="M61" i="2" s="1"/>
  <c r="M196" i="2" a="1"/>
  <c r="M196" i="2" s="1"/>
  <c r="M292" i="2" a="1"/>
  <c r="M292" i="2" s="1"/>
  <c r="M419" i="2" a="1"/>
  <c r="M419" i="2" s="1"/>
  <c r="M500" i="2" a="1"/>
  <c r="M500" i="2" s="1"/>
  <c r="M568" i="2" a="1"/>
  <c r="M568" i="2" s="1"/>
  <c r="M695" i="2" a="1"/>
  <c r="M695" i="2" s="1"/>
  <c r="M820" i="2" a="1"/>
  <c r="M820" i="2" s="1"/>
  <c r="M945" i="2" a="1"/>
  <c r="M945" i="2" s="1"/>
  <c r="M63" i="2" a="1"/>
  <c r="M63" i="2" s="1"/>
  <c r="M197" i="2" a="1"/>
  <c r="M197" i="2" s="1"/>
  <c r="M293" i="2" a="1"/>
  <c r="M293" i="2" s="1"/>
  <c r="M423" i="2" a="1"/>
  <c r="M423" i="2" s="1"/>
  <c r="M569" i="2" a="1"/>
  <c r="M569" i="2" s="1"/>
  <c r="M885" i="2" a="1"/>
  <c r="M885" i="2" s="1"/>
  <c r="M946" i="2" a="1"/>
  <c r="M946" i="2" s="1"/>
  <c r="M64" i="2" a="1"/>
  <c r="M64" i="2" s="1"/>
  <c r="M317" i="2" a="1"/>
  <c r="M317" i="2" s="1"/>
  <c r="M427" i="2" a="1"/>
  <c r="M427" i="2" s="1"/>
  <c r="M510" i="2" a="1"/>
  <c r="M510" i="2" s="1"/>
  <c r="M638" i="2" a="1"/>
  <c r="M638" i="2" s="1"/>
  <c r="M696" i="2" a="1"/>
  <c r="M696" i="2" s="1"/>
  <c r="M821" i="2" a="1"/>
  <c r="M821" i="2" s="1"/>
  <c r="M890" i="2" a="1"/>
  <c r="M890" i="2" s="1"/>
  <c r="M765" i="2" a="1"/>
  <c r="M765"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D69A3C-E047-4D21-964B-0494753B5648}" keepAlive="1" name="Query - patients" description="Connection to the 'patients' query in the workbook." type="5" refreshedVersion="8" background="1" saveData="1">
    <dbPr connection="Provider=Microsoft.Mashup.OleDb.1;Data Source=$Workbook$;Location=patients;Extended Properties=&quot;&quot;" command="SELECT * FROM [patients]"/>
  </connection>
  <connection id="2" xr16:uid="{BB5518FB-3D7F-43A5-B6EC-11551FB7CB58}" keepAlive="1" name="Query - services_weekly" description="Connection to the 'services_weekly' query in the workbook." type="5" refreshedVersion="8" background="1" saveData="1">
    <dbPr connection="Provider=Microsoft.Mashup.OleDb.1;Data Source=$Workbook$;Location=services_weekly;Extended Properties=&quot;&quot;" command="SELECT * FROM [services_weekly]"/>
  </connection>
  <connection id="3" xr16:uid="{32D3371A-E174-416A-95F7-A81048BEBAF9}" keepAlive="1" name="Query - staff" description="Connection to the 'staff' query in the workbook." type="5" refreshedVersion="8" background="1" saveData="1">
    <dbPr connection="Provider=Microsoft.Mashup.OleDb.1;Data Source=$Workbook$;Location=staff;Extended Properties=&quot;&quot;" command="SELECT * FROM [staff]"/>
  </connection>
  <connection id="4" xr16:uid="{E3EB30F3-700A-4D05-94C9-0911160F943C}" keepAlive="1" name="Query - staff_schedule" description="Connection to the 'staff_schedule' query in the workbook." type="5" refreshedVersion="8" background="1" saveData="1">
    <dbPr connection="Provider=Microsoft.Mashup.OleDb.1;Data Source=$Workbook$;Location=staff_schedule;Extended Properties=&quot;&quot;" command="SELECT * FROM [staff_schedule]"/>
  </connection>
  <connection id="5" xr16:uid="{A8686508-AC89-44A6-AEF5-3930E746C0D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E5595855-BD0E-4118-B390-B7CA8E1194D5}" name="WorksheetConnection_szpital.xlsx!patients" type="102" refreshedVersion="8" minRefreshableVersion="5">
    <extLst>
      <ext xmlns:x15="http://schemas.microsoft.com/office/spreadsheetml/2010/11/main" uri="{DE250136-89BD-433C-8126-D09CA5730AF9}">
        <x15:connection id="patients">
          <x15:rangePr sourceName="_xlcn.WorksheetConnection_szpital.xlsxpatients1"/>
        </x15:connection>
      </ext>
    </extLst>
  </connection>
  <connection id="7" xr16:uid="{37E65F80-B4A7-41B8-8BD7-CD353C1F263E}" name="WorksheetConnection_szpital.xlsx!services_weekly" type="102" refreshedVersion="8" minRefreshableVersion="5">
    <extLst>
      <ext xmlns:x15="http://schemas.microsoft.com/office/spreadsheetml/2010/11/main" uri="{DE250136-89BD-433C-8126-D09CA5730AF9}">
        <x15:connection id="services_weekly">
          <x15:rangePr sourceName="_xlcn.WorksheetConnection_szpital.xlsxservices_weekly1"/>
        </x15:connection>
      </ext>
    </extLst>
  </connection>
  <connection id="8" xr16:uid="{89493FFF-5AE1-43AE-B00D-6E95C8B69FE9}" name="WorksheetConnection_szpital.xlsx!staff" type="102" refreshedVersion="8" minRefreshableVersion="5">
    <extLst>
      <ext xmlns:x15="http://schemas.microsoft.com/office/spreadsheetml/2010/11/main" uri="{DE250136-89BD-433C-8126-D09CA5730AF9}">
        <x15:connection id="staff">
          <x15:rangePr sourceName="_xlcn.WorksheetConnection_szpital.xlsxstaff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<sst xmlns="http://schemas.openxmlformats.org/spreadsheetml/2006/main" count="3919" uniqueCount="2260">
  <si>
    <t>patient_id</t>
  </si>
  <si>
    <t>name</t>
  </si>
  <si>
    <t>age</t>
  </si>
  <si>
    <t>arrival_date</t>
  </si>
  <si>
    <t>departure_date</t>
  </si>
  <si>
    <t>service</t>
  </si>
  <si>
    <t>satisfaction</t>
  </si>
  <si>
    <t>PAT-09484753</t>
  </si>
  <si>
    <t>Richard Rodriguez</t>
  </si>
  <si>
    <t>surgery</t>
  </si>
  <si>
    <t>PAT-f0644084</t>
  </si>
  <si>
    <t>Shannon Walker</t>
  </si>
  <si>
    <t>PAT-ac6162e4</t>
  </si>
  <si>
    <t>Julia Torres</t>
  </si>
  <si>
    <t>general_medicine</t>
  </si>
  <si>
    <t>PAT-3dda2bb5</t>
  </si>
  <si>
    <t>Crystal Johnson</t>
  </si>
  <si>
    <t>emergency</t>
  </si>
  <si>
    <t>PAT-08591375</t>
  </si>
  <si>
    <t>Garrett Lin</t>
  </si>
  <si>
    <t>ICU</t>
  </si>
  <si>
    <t>PAT-f4b29bae</t>
  </si>
  <si>
    <t>Diana May</t>
  </si>
  <si>
    <t>PAT-283cda07</t>
  </si>
  <si>
    <t>William Herrera</t>
  </si>
  <si>
    <t>PAT-5b61868c</t>
  </si>
  <si>
    <t>Ashley Waller</t>
  </si>
  <si>
    <t>PAT-f9c8afa6</t>
  </si>
  <si>
    <t>Victor Baker</t>
  </si>
  <si>
    <t>PAT-5290be70</t>
  </si>
  <si>
    <t>Jeffrey Chandler</t>
  </si>
  <si>
    <t>PAT-003ce690</t>
  </si>
  <si>
    <t>Larry Dixon</t>
  </si>
  <si>
    <t>PAT-18f78014</t>
  </si>
  <si>
    <t>Kenneth Scott</t>
  </si>
  <si>
    <t>PAT-69dc0dc1</t>
  </si>
  <si>
    <t>April Frost</t>
  </si>
  <si>
    <t>PAT-95afe21e</t>
  </si>
  <si>
    <t>Michelle Harmon</t>
  </si>
  <si>
    <t>PAT-cc50ad71</t>
  </si>
  <si>
    <t>Helen Jones</t>
  </si>
  <si>
    <t>PAT-0beb4754</t>
  </si>
  <si>
    <t>Erin Edwards</t>
  </si>
  <si>
    <t>PAT-3223420e</t>
  </si>
  <si>
    <t>Michelle Evans</t>
  </si>
  <si>
    <t>PAT-f0682772</t>
  </si>
  <si>
    <t>Jason Powell</t>
  </si>
  <si>
    <t>PAT-af65396f</t>
  </si>
  <si>
    <t>Cameron Fisher</t>
  </si>
  <si>
    <t>PAT-dbbf6d1f</t>
  </si>
  <si>
    <t>Megan Orr</t>
  </si>
  <si>
    <t>PAT-5e3f8747</t>
  </si>
  <si>
    <t>Elizabeth Kelley</t>
  </si>
  <si>
    <t>PAT-ba5529f4</t>
  </si>
  <si>
    <t>Dustin Jordan</t>
  </si>
  <si>
    <t>PAT-208fd478</t>
  </si>
  <si>
    <t>Mary Marshall</t>
  </si>
  <si>
    <t>PAT-127ca40e</t>
  </si>
  <si>
    <t>Daniel Kennedy</t>
  </si>
  <si>
    <t>PAT-f70aeea1</t>
  </si>
  <si>
    <t>Rebecca Jackson</t>
  </si>
  <si>
    <t>PAT-9bc45d47</t>
  </si>
  <si>
    <t>Jose Schultz</t>
  </si>
  <si>
    <t>PAT-13c9b20f</t>
  </si>
  <si>
    <t>Robert Potter</t>
  </si>
  <si>
    <t>PAT-cd63d937</t>
  </si>
  <si>
    <t>Courtney Gonzalez</t>
  </si>
  <si>
    <t>PAT-1bc22a80</t>
  </si>
  <si>
    <t>David Alvarez</t>
  </si>
  <si>
    <t>PAT-5044053e</t>
  </si>
  <si>
    <t>Angel Perry</t>
  </si>
  <si>
    <t>PAT-f3846605</t>
  </si>
  <si>
    <t>Cheyenne Horton</t>
  </si>
  <si>
    <t>PAT-736d270f</t>
  </si>
  <si>
    <t>David Douglas Jr.</t>
  </si>
  <si>
    <t>PAT-af250ef4</t>
  </si>
  <si>
    <t>Patricia Rodriguez</t>
  </si>
  <si>
    <t>PAT-eacf84b5</t>
  </si>
  <si>
    <t>Christopher Rubio</t>
  </si>
  <si>
    <t>PAT-8029775b</t>
  </si>
  <si>
    <t>Amber Wright</t>
  </si>
  <si>
    <t>PAT-9ba7a6ee</t>
  </si>
  <si>
    <t>Joyce Solis</t>
  </si>
  <si>
    <t>PAT-029113eb</t>
  </si>
  <si>
    <t>Victoria Larson</t>
  </si>
  <si>
    <t>PAT-44c855d4</t>
  </si>
  <si>
    <t>Stephanie Salazar</t>
  </si>
  <si>
    <t>PAT-8b1e87b0</t>
  </si>
  <si>
    <t>Kathy Rivas</t>
  </si>
  <si>
    <t>PAT-fade1b7b</t>
  </si>
  <si>
    <t>Stephanie Manning</t>
  </si>
  <si>
    <t>PAT-d4f82ecb</t>
  </si>
  <si>
    <t>David Wright</t>
  </si>
  <si>
    <t>PAT-5b51b470</t>
  </si>
  <si>
    <t>Pamela Boyd</t>
  </si>
  <si>
    <t>PAT-cb6b3892</t>
  </si>
  <si>
    <t>Denise Jones</t>
  </si>
  <si>
    <t>PAT-87783e44</t>
  </si>
  <si>
    <t>Devon Flores</t>
  </si>
  <si>
    <t>PAT-33d8d801</t>
  </si>
  <si>
    <t>Brenda Hall</t>
  </si>
  <si>
    <t>PAT-48f61d27</t>
  </si>
  <si>
    <t>Michelle Brown</t>
  </si>
  <si>
    <t>PAT-24a653c8</t>
  </si>
  <si>
    <t>Joshua Perry</t>
  </si>
  <si>
    <t>PAT-0d00ca2c</t>
  </si>
  <si>
    <t>Jason Stein</t>
  </si>
  <si>
    <t>PAT-70057243</t>
  </si>
  <si>
    <t>Melissa Gates</t>
  </si>
  <si>
    <t>PAT-84559395</t>
  </si>
  <si>
    <t>Jamie Smith</t>
  </si>
  <si>
    <t>PAT-581a47d8</t>
  </si>
  <si>
    <t>Paul Castaneda</t>
  </si>
  <si>
    <t>PAT-851d3ef5</t>
  </si>
  <si>
    <t>Jennifer Adkins</t>
  </si>
  <si>
    <t>PAT-a2c2be76</t>
  </si>
  <si>
    <t>Lindsey Walker</t>
  </si>
  <si>
    <t>PAT-ae81e45f</t>
  </si>
  <si>
    <t>Jeffrey Johnson</t>
  </si>
  <si>
    <t>PAT-51e4d298</t>
  </si>
  <si>
    <t>Michael Powell</t>
  </si>
  <si>
    <t>PAT-deada259</t>
  </si>
  <si>
    <t>John Anderson</t>
  </si>
  <si>
    <t>PAT-73381b12</t>
  </si>
  <si>
    <t>Alyssa Long</t>
  </si>
  <si>
    <t>PAT-4275a12b</t>
  </si>
  <si>
    <t>Alyssa Day</t>
  </si>
  <si>
    <t>PAT-a4a957cb</t>
  </si>
  <si>
    <t>Joel Williams</t>
  </si>
  <si>
    <t>PAT-a2ac2b3b</t>
  </si>
  <si>
    <t>Daniel Murphy</t>
  </si>
  <si>
    <t>PAT-64a781e0</t>
  </si>
  <si>
    <t>Jamie Walton</t>
  </si>
  <si>
    <t>PAT-54bd8932</t>
  </si>
  <si>
    <t>Darlene Miller</t>
  </si>
  <si>
    <t>PAT-1e630d47</t>
  </si>
  <si>
    <t>Joshua Cooke</t>
  </si>
  <si>
    <t>PAT-d1c95e77</t>
  </si>
  <si>
    <t>Matthew Harrington</t>
  </si>
  <si>
    <t>PAT-69802c02</t>
  </si>
  <si>
    <t>Nicole Herring</t>
  </si>
  <si>
    <t>PAT-8b68dd5f</t>
  </si>
  <si>
    <t>Alex Hernandez</t>
  </si>
  <si>
    <t>PAT-93f48cc9</t>
  </si>
  <si>
    <t>Michael Elliott</t>
  </si>
  <si>
    <t>PAT-0477a000</t>
  </si>
  <si>
    <t>Michael Wang</t>
  </si>
  <si>
    <t>PAT-efd9dfb4</t>
  </si>
  <si>
    <t>Lawrence Adkins</t>
  </si>
  <si>
    <t>PAT-1dd2fee7</t>
  </si>
  <si>
    <t>Robert Oconnell</t>
  </si>
  <si>
    <t>PAT-f316dd98</t>
  </si>
  <si>
    <t>Alexander Collins</t>
  </si>
  <si>
    <t>PAT-d6e424a7</t>
  </si>
  <si>
    <t>Tina Sanders</t>
  </si>
  <si>
    <t>PAT-9da5da0c</t>
  </si>
  <si>
    <t>Angela Vaughn</t>
  </si>
  <si>
    <t>PAT-d6009d2d</t>
  </si>
  <si>
    <t>Ashley Barton</t>
  </si>
  <si>
    <t>PAT-93eef480</t>
  </si>
  <si>
    <t>Lindsay Martinez</t>
  </si>
  <si>
    <t>PAT-71af91b2</t>
  </si>
  <si>
    <t>Dr. Hannah Patterson</t>
  </si>
  <si>
    <t>PAT-46bf225d</t>
  </si>
  <si>
    <t>Jonathan Peterson</t>
  </si>
  <si>
    <t>PAT-cdf17ff3</t>
  </si>
  <si>
    <t>Samantha Garcia</t>
  </si>
  <si>
    <t>PAT-37cfaa9e</t>
  </si>
  <si>
    <t>Madison Poole</t>
  </si>
  <si>
    <t>PAT-8d08fe4b</t>
  </si>
  <si>
    <t>Jessica Gross</t>
  </si>
  <si>
    <t>PAT-5ceebd3e</t>
  </si>
  <si>
    <t>Debra Morton</t>
  </si>
  <si>
    <t>PAT-781642da</t>
  </si>
  <si>
    <t>Karen Graham</t>
  </si>
  <si>
    <t>PAT-59b0893a</t>
  </si>
  <si>
    <t>Debra Christian</t>
  </si>
  <si>
    <t>PAT-6527c233</t>
  </si>
  <si>
    <t>Angelica Keith</t>
  </si>
  <si>
    <t>PAT-78c826d3</t>
  </si>
  <si>
    <t>John Bishop</t>
  </si>
  <si>
    <t>PAT-69b43c9f</t>
  </si>
  <si>
    <t>Allen Rosales</t>
  </si>
  <si>
    <t>PAT-5d40ae5a</t>
  </si>
  <si>
    <t>Daniel Salinas</t>
  </si>
  <si>
    <t>PAT-bc9492e1</t>
  </si>
  <si>
    <t>Spencer Haynes</t>
  </si>
  <si>
    <t>PAT-1cc7c1b5</t>
  </si>
  <si>
    <t>Adam Vaughan</t>
  </si>
  <si>
    <t>PAT-67f7e3c0</t>
  </si>
  <si>
    <t>Nathan Freeman</t>
  </si>
  <si>
    <t>PAT-ff95fbd3</t>
  </si>
  <si>
    <t>Melissa Brewer</t>
  </si>
  <si>
    <t>PAT-64d84602</t>
  </si>
  <si>
    <t>Ricky Davis II</t>
  </si>
  <si>
    <t>PAT-aec27b91</t>
  </si>
  <si>
    <t>Elizabeth Perkins</t>
  </si>
  <si>
    <t>PAT-adbace23</t>
  </si>
  <si>
    <t>Joseph Coleman</t>
  </si>
  <si>
    <t>PAT-4541f775</t>
  </si>
  <si>
    <t>Erin Warner</t>
  </si>
  <si>
    <t>PAT-747aa801</t>
  </si>
  <si>
    <t>David Martinez</t>
  </si>
  <si>
    <t>PAT-8f6d5fa4</t>
  </si>
  <si>
    <t>Bryan Herrera</t>
  </si>
  <si>
    <t>PAT-5549773a</t>
  </si>
  <si>
    <t>Cathy Robinson</t>
  </si>
  <si>
    <t>PAT-a1a7ae2d</t>
  </si>
  <si>
    <t>Dr. William Warren</t>
  </si>
  <si>
    <t>PAT-e3ea41ad</t>
  </si>
  <si>
    <t>Brian Lee</t>
  </si>
  <si>
    <t>PAT-9503b40f</t>
  </si>
  <si>
    <t>Christopher Smith</t>
  </si>
  <si>
    <t>PAT-77cb8744</t>
  </si>
  <si>
    <t>Denise Mccann</t>
  </si>
  <si>
    <t>PAT-7b4c9205</t>
  </si>
  <si>
    <t>Melissa Martinez</t>
  </si>
  <si>
    <t>PAT-140b8ad9</t>
  </si>
  <si>
    <t>Katherine Salas</t>
  </si>
  <si>
    <t>PAT-d2e54d43</t>
  </si>
  <si>
    <t>Julie Alexander</t>
  </si>
  <si>
    <t>PAT-7d1cd17c</t>
  </si>
  <si>
    <t>Anthony Everett</t>
  </si>
  <si>
    <t>PAT-a5027bf8</t>
  </si>
  <si>
    <t>Rodney Morales</t>
  </si>
  <si>
    <t>PAT-e084c2a6</t>
  </si>
  <si>
    <t>Mark Brown</t>
  </si>
  <si>
    <t>PAT-6df0ffc7</t>
  </si>
  <si>
    <t>Justin Torres</t>
  </si>
  <si>
    <t>PAT-778a1d7f</t>
  </si>
  <si>
    <t>Bailey Duran DDS</t>
  </si>
  <si>
    <t>PAT-c10bb8e8</t>
  </si>
  <si>
    <t>Courtney Mills</t>
  </si>
  <si>
    <t>PAT-213fad7f</t>
  </si>
  <si>
    <t>Jeremy Dalton</t>
  </si>
  <si>
    <t>PAT-ac6dc0e1</t>
  </si>
  <si>
    <t>Elizabeth Oliver DDS</t>
  </si>
  <si>
    <t>PAT-76736cf9</t>
  </si>
  <si>
    <t>Theresa Clark</t>
  </si>
  <si>
    <t>PAT-7447f98d</t>
  </si>
  <si>
    <t>Matthew Moore</t>
  </si>
  <si>
    <t>PAT-adc6b53e</t>
  </si>
  <si>
    <t>Benjamin Smith</t>
  </si>
  <si>
    <t>PAT-566609d4</t>
  </si>
  <si>
    <t>Kirk Carter</t>
  </si>
  <si>
    <t>PAT-76ad3db1</t>
  </si>
  <si>
    <t>Michael Warner</t>
  </si>
  <si>
    <t>PAT-6cade292</t>
  </si>
  <si>
    <t>Michael Bradshaw</t>
  </si>
  <si>
    <t>PAT-9058ed41</t>
  </si>
  <si>
    <t>Lori Guerrero</t>
  </si>
  <si>
    <t>PAT-a672d6ab</t>
  </si>
  <si>
    <t>Jessica Stephens</t>
  </si>
  <si>
    <t>PAT-55170e9d</t>
  </si>
  <si>
    <t>Susan Serrano</t>
  </si>
  <si>
    <t>PAT-1c369f8c</t>
  </si>
  <si>
    <t>Christopher Parker</t>
  </si>
  <si>
    <t>PAT-933fdb73</t>
  </si>
  <si>
    <t>Laura Roberts</t>
  </si>
  <si>
    <t>PAT-36e02234</t>
  </si>
  <si>
    <t>Michael Lyons</t>
  </si>
  <si>
    <t>PAT-5cc44627</t>
  </si>
  <si>
    <t>Kathryn Snyder</t>
  </si>
  <si>
    <t>PAT-333f8368</t>
  </si>
  <si>
    <t>Andrew Reynolds</t>
  </si>
  <si>
    <t>PAT-82531806</t>
  </si>
  <si>
    <t>David Davis</t>
  </si>
  <si>
    <t>PAT-16a8108f</t>
  </si>
  <si>
    <t>Sara Johnston</t>
  </si>
  <si>
    <t>PAT-d977b532</t>
  </si>
  <si>
    <t>Yvonne Chambers</t>
  </si>
  <si>
    <t>PAT-532a2fa4</t>
  </si>
  <si>
    <t>Andrew Avila</t>
  </si>
  <si>
    <t>PAT-4d4b8877</t>
  </si>
  <si>
    <t>Matthew Moon</t>
  </si>
  <si>
    <t>PAT-2d44492a</t>
  </si>
  <si>
    <t>Kevin Walters</t>
  </si>
  <si>
    <t>PAT-dea8a3ab</t>
  </si>
  <si>
    <t>Brandon Bailey MD</t>
  </si>
  <si>
    <t>PAT-a8c3a396</t>
  </si>
  <si>
    <t>Shannon Rivera</t>
  </si>
  <si>
    <t>PAT-e52ee9c7</t>
  </si>
  <si>
    <t>Donna Landry</t>
  </si>
  <si>
    <t>PAT-b3234b48</t>
  </si>
  <si>
    <t>Krista Gibson</t>
  </si>
  <si>
    <t>PAT-3333db57</t>
  </si>
  <si>
    <t>Frank Cordova</t>
  </si>
  <si>
    <t>PAT-422fc492</t>
  </si>
  <si>
    <t>Jose Travis</t>
  </si>
  <si>
    <t>PAT-62ac02ae</t>
  </si>
  <si>
    <t>Kimberly Gutierrez</t>
  </si>
  <si>
    <t>PAT-aecf2749</t>
  </si>
  <si>
    <t>Isaiah Avila</t>
  </si>
  <si>
    <t>PAT-910d00c5</t>
  </si>
  <si>
    <t>Olivia Harris</t>
  </si>
  <si>
    <t>PAT-1153d980</t>
  </si>
  <si>
    <t>Tanya Kim</t>
  </si>
  <si>
    <t>PAT-86e1492d</t>
  </si>
  <si>
    <t>Barbara Dudley</t>
  </si>
  <si>
    <t>PAT-796351fa</t>
  </si>
  <si>
    <t>Cynthia Moore</t>
  </si>
  <si>
    <t>PAT-45fbe971</t>
  </si>
  <si>
    <t>Kristen Davis</t>
  </si>
  <si>
    <t>PAT-d70a9eaa</t>
  </si>
  <si>
    <t>Susan Murray MD</t>
  </si>
  <si>
    <t>PAT-807a2946</t>
  </si>
  <si>
    <t>Kathleen Moran</t>
  </si>
  <si>
    <t>PAT-8f4befb1</t>
  </si>
  <si>
    <t>Denise Davenport</t>
  </si>
  <si>
    <t>PAT-128d605f</t>
  </si>
  <si>
    <t>Mrs. Kristen Reyes</t>
  </si>
  <si>
    <t>PAT-957409c3</t>
  </si>
  <si>
    <t>Katie Suarez</t>
  </si>
  <si>
    <t>PAT-e84b2bde</t>
  </si>
  <si>
    <t>Desiree Tyler</t>
  </si>
  <si>
    <t>PAT-ef5fba5e</t>
  </si>
  <si>
    <t>Timothy Romero</t>
  </si>
  <si>
    <t>PAT-9fa2fb78</t>
  </si>
  <si>
    <t>Diane Evans</t>
  </si>
  <si>
    <t>PAT-0b36c5db</t>
  </si>
  <si>
    <t>Yvonne Burns</t>
  </si>
  <si>
    <t>PAT-feaf8fa9</t>
  </si>
  <si>
    <t>Joshua Reed</t>
  </si>
  <si>
    <t>PAT-a0249545</t>
  </si>
  <si>
    <t>Kimberly Gibson</t>
  </si>
  <si>
    <t>PAT-b3884d9d</t>
  </si>
  <si>
    <t>Colin Terry</t>
  </si>
  <si>
    <t>PAT-37a4e49b</t>
  </si>
  <si>
    <t>Cynthia Rowe</t>
  </si>
  <si>
    <t>PAT-3f3b87d0</t>
  </si>
  <si>
    <t>Patrick Thornton</t>
  </si>
  <si>
    <t>PAT-4a65d104</t>
  </si>
  <si>
    <t>Jasmin Alvarado</t>
  </si>
  <si>
    <t>PAT-f71341e8</t>
  </si>
  <si>
    <t>Veronica Simpson</t>
  </si>
  <si>
    <t>PAT-7fd45a04</t>
  </si>
  <si>
    <t>Jonathan Lawrence</t>
  </si>
  <si>
    <t>PAT-497f24f8</t>
  </si>
  <si>
    <t>Shelly Alexander</t>
  </si>
  <si>
    <t>PAT-397b021a</t>
  </si>
  <si>
    <t>Joyce Bowen</t>
  </si>
  <si>
    <t>PAT-278b39f9</t>
  </si>
  <si>
    <t>PAT-7d5f5886</t>
  </si>
  <si>
    <t>Wayne Morgan</t>
  </si>
  <si>
    <t>PAT-30e54d48</t>
  </si>
  <si>
    <t>Marie Christian</t>
  </si>
  <si>
    <t>PAT-121063b2</t>
  </si>
  <si>
    <t>Shannon James</t>
  </si>
  <si>
    <t>PAT-dd595a4b</t>
  </si>
  <si>
    <t>Nathan Malone</t>
  </si>
  <si>
    <t>PAT-238a6975</t>
  </si>
  <si>
    <t>Amanda Jones</t>
  </si>
  <si>
    <t>PAT-f6746853</t>
  </si>
  <si>
    <t>Tammie Bright</t>
  </si>
  <si>
    <t>PAT-e83fd232</t>
  </si>
  <si>
    <t>Jessica Garcia</t>
  </si>
  <si>
    <t>PAT-4d0caa3d</t>
  </si>
  <si>
    <t>Shelia Wallace</t>
  </si>
  <si>
    <t>PAT-7e7ca2a8</t>
  </si>
  <si>
    <t>Stephanie Williams</t>
  </si>
  <si>
    <t>PAT-aa7fce81</t>
  </si>
  <si>
    <t>Elaine Brooks</t>
  </si>
  <si>
    <t>PAT-8f12a5d6</t>
  </si>
  <si>
    <t>Joseph Knight</t>
  </si>
  <si>
    <t>PAT-3791a5a1</t>
  </si>
  <si>
    <t>Carolyn Miller</t>
  </si>
  <si>
    <t>PAT-bc0e1eca</t>
  </si>
  <si>
    <t>Lisa Allen</t>
  </si>
  <si>
    <t>PAT-481d6c67</t>
  </si>
  <si>
    <t>Briana Murray</t>
  </si>
  <si>
    <t>PAT-0d3bf577</t>
  </si>
  <si>
    <t>David Smith</t>
  </si>
  <si>
    <t>PAT-50b16635</t>
  </si>
  <si>
    <t>Stephanie Byrd</t>
  </si>
  <si>
    <t>PAT-d7ca9f9c</t>
  </si>
  <si>
    <t>Jeremy Reed</t>
  </si>
  <si>
    <t>PAT-6239f3b2</t>
  </si>
  <si>
    <t>Margaret Coleman</t>
  </si>
  <si>
    <t>PAT-aae196c0</t>
  </si>
  <si>
    <t>Ryan Gonzalez</t>
  </si>
  <si>
    <t>PAT-c84e4d43</t>
  </si>
  <si>
    <t>John Young</t>
  </si>
  <si>
    <t>PAT-59cde384</t>
  </si>
  <si>
    <t>Laura Haney</t>
  </si>
  <si>
    <t>PAT-c3d1e20b</t>
  </si>
  <si>
    <t>William Barrett</t>
  </si>
  <si>
    <t>PAT-55244264</t>
  </si>
  <si>
    <t>Keith Jennings</t>
  </si>
  <si>
    <t>PAT-00b64d32</t>
  </si>
  <si>
    <t>Amber Obrien</t>
  </si>
  <si>
    <t>PAT-78f9a717</t>
  </si>
  <si>
    <t>Tanner Mitchell DDS</t>
  </si>
  <si>
    <t>PAT-98dd495d</t>
  </si>
  <si>
    <t>Heather Fields</t>
  </si>
  <si>
    <t>PAT-f8043a94</t>
  </si>
  <si>
    <t>Megan Le</t>
  </si>
  <si>
    <t>PAT-3e4685e0</t>
  </si>
  <si>
    <t>Sara Fuller</t>
  </si>
  <si>
    <t>PAT-d29552a2</t>
  </si>
  <si>
    <t>Maria Parker</t>
  </si>
  <si>
    <t>PAT-112d537f</t>
  </si>
  <si>
    <t>Kevin Oconnor</t>
  </si>
  <si>
    <t>PAT-887e7cea</t>
  </si>
  <si>
    <t>Edward Burgess</t>
  </si>
  <si>
    <t>PAT-30c0449b</t>
  </si>
  <si>
    <t>Carlos Ryan</t>
  </si>
  <si>
    <t>PAT-71583d93</t>
  </si>
  <si>
    <t>Kiara Mcintyre</t>
  </si>
  <si>
    <t>PAT-2143a928</t>
  </si>
  <si>
    <t>Dawn Summers</t>
  </si>
  <si>
    <t>PAT-8c70732d</t>
  </si>
  <si>
    <t>Dr. Paul Morgan</t>
  </si>
  <si>
    <t>PAT-00883d3c</t>
  </si>
  <si>
    <t>Victor Taylor</t>
  </si>
  <si>
    <t>PAT-fddf786e</t>
  </si>
  <si>
    <t>Shannon Ramsey</t>
  </si>
  <si>
    <t>PAT-4ef184da</t>
  </si>
  <si>
    <t>Tracy Ballard</t>
  </si>
  <si>
    <t>PAT-a9c4531b</t>
  </si>
  <si>
    <t>Richard Smith</t>
  </si>
  <si>
    <t>PAT-25a0eac5</t>
  </si>
  <si>
    <t>Jordan Chambers</t>
  </si>
  <si>
    <t>PAT-d4d94c8f</t>
  </si>
  <si>
    <t>Lauren Carson</t>
  </si>
  <si>
    <t>PAT-906c556b</t>
  </si>
  <si>
    <t>Ashley Hall</t>
  </si>
  <si>
    <t>PAT-4ce7266d</t>
  </si>
  <si>
    <t>Stephen Hoffman</t>
  </si>
  <si>
    <t>PAT-c4848253</t>
  </si>
  <si>
    <t>Connie Brown</t>
  </si>
  <si>
    <t>PAT-adca7b82</t>
  </si>
  <si>
    <t>Susan Turner</t>
  </si>
  <si>
    <t>PAT-d85f1bec</t>
  </si>
  <si>
    <t>Charles Shah</t>
  </si>
  <si>
    <t>PAT-84b93457</t>
  </si>
  <si>
    <t>Johnathan Davis</t>
  </si>
  <si>
    <t>PAT-74615cd8</t>
  </si>
  <si>
    <t>Brandy Chavez</t>
  </si>
  <si>
    <t>PAT-67d4bb5c</t>
  </si>
  <si>
    <t>Natalie Bautista</t>
  </si>
  <si>
    <t>PAT-e2357dd9</t>
  </si>
  <si>
    <t>Patrick Moore</t>
  </si>
  <si>
    <t>PAT-7ac9ef77</t>
  </si>
  <si>
    <t>Brett Burns</t>
  </si>
  <si>
    <t>PAT-d0adb997</t>
  </si>
  <si>
    <t>Trevor Johnson</t>
  </si>
  <si>
    <t>PAT-096760c2</t>
  </si>
  <si>
    <t>Jeremy Sampson</t>
  </si>
  <si>
    <t>PAT-36f95aa3</t>
  </si>
  <si>
    <t>Ariana Jennings</t>
  </si>
  <si>
    <t>PAT-2374bf63</t>
  </si>
  <si>
    <t>Vanessa Howard</t>
  </si>
  <si>
    <t>PAT-89105c60</t>
  </si>
  <si>
    <t>Colton Martinez</t>
  </si>
  <si>
    <t>PAT-c0e08cc7</t>
  </si>
  <si>
    <t>Jordan Bates</t>
  </si>
  <si>
    <t>PAT-a1996f50</t>
  </si>
  <si>
    <t>Linda Smith</t>
  </si>
  <si>
    <t>PAT-5d438213</t>
  </si>
  <si>
    <t>Dana Martinez</t>
  </si>
  <si>
    <t>PAT-994866af</t>
  </si>
  <si>
    <t>Andrea Hubbard</t>
  </si>
  <si>
    <t>PAT-51ed4886</t>
  </si>
  <si>
    <t>Daniel Kane</t>
  </si>
  <si>
    <t>PAT-6fda5c2b</t>
  </si>
  <si>
    <t>Charles Lester</t>
  </si>
  <si>
    <t>PAT-69035998</t>
  </si>
  <si>
    <t>Scott Thomas</t>
  </si>
  <si>
    <t>PAT-66afc4ce</t>
  </si>
  <si>
    <t>David Thompson</t>
  </si>
  <si>
    <t>PAT-de5fbcb3</t>
  </si>
  <si>
    <t>Allison Smith</t>
  </si>
  <si>
    <t>PAT-e1613a16</t>
  </si>
  <si>
    <t>Cynthia Morris</t>
  </si>
  <si>
    <t>PAT-55a00f9c</t>
  </si>
  <si>
    <t>Anthony Harmon</t>
  </si>
  <si>
    <t>PAT-dba63b3e</t>
  </si>
  <si>
    <t>Nichole Alvarez</t>
  </si>
  <si>
    <t>PAT-2b558098</t>
  </si>
  <si>
    <t>Kayla Rodriguez</t>
  </si>
  <si>
    <t>PAT-352bf97c</t>
  </si>
  <si>
    <t>Theresa Williams</t>
  </si>
  <si>
    <t>PAT-623cbc11</t>
  </si>
  <si>
    <t>Sharon Boyd</t>
  </si>
  <si>
    <t>PAT-1c834d8e</t>
  </si>
  <si>
    <t>Victor Brown</t>
  </si>
  <si>
    <t>PAT-ab6cb480</t>
  </si>
  <si>
    <t>James Parks</t>
  </si>
  <si>
    <t>PAT-3765ddaf</t>
  </si>
  <si>
    <t>Theodore Jones Jr.</t>
  </si>
  <si>
    <t>PAT-fe52b6dc</t>
  </si>
  <si>
    <t>Ana Hill</t>
  </si>
  <si>
    <t>PAT-46c5550c</t>
  </si>
  <si>
    <t>Kimberly Nguyen</t>
  </si>
  <si>
    <t>PAT-859a8803</t>
  </si>
  <si>
    <t>Kerry Chavez DDS</t>
  </si>
  <si>
    <t>PAT-5b8fca34</t>
  </si>
  <si>
    <t>Michael Farrell</t>
  </si>
  <si>
    <t>PAT-ab2071a7</t>
  </si>
  <si>
    <t>Patricia Le</t>
  </si>
  <si>
    <t>PAT-9fd54384</t>
  </si>
  <si>
    <t>Jesse Perez</t>
  </si>
  <si>
    <t>PAT-a8134bdf</t>
  </si>
  <si>
    <t>Jesse Perry</t>
  </si>
  <si>
    <t>PAT-faeaf27e</t>
  </si>
  <si>
    <t>Jeffery Ortega</t>
  </si>
  <si>
    <t>PAT-49865d7c</t>
  </si>
  <si>
    <t>Christian Leblanc</t>
  </si>
  <si>
    <t>PAT-4a3ae352</t>
  </si>
  <si>
    <t>Ronald Davis</t>
  </si>
  <si>
    <t>PAT-1dd01e3e</t>
  </si>
  <si>
    <t>Parker Cain</t>
  </si>
  <si>
    <t>PAT-1a76365c</t>
  </si>
  <si>
    <t>Laurie Hoffman</t>
  </si>
  <si>
    <t>PAT-0812aab1</t>
  </si>
  <si>
    <t>Bryan Gomez</t>
  </si>
  <si>
    <t>PAT-a7b89463</t>
  </si>
  <si>
    <t>Nicole Parrish</t>
  </si>
  <si>
    <t>PAT-9152b60f</t>
  </si>
  <si>
    <t>Tracy Burke</t>
  </si>
  <si>
    <t>PAT-47b2e0ba</t>
  </si>
  <si>
    <t>Kenneth Lewis</t>
  </si>
  <si>
    <t>PAT-54d1c471</t>
  </si>
  <si>
    <t>Courtney Rodriguez</t>
  </si>
  <si>
    <t>PAT-15c81fbe</t>
  </si>
  <si>
    <t>Holly Farmer</t>
  </si>
  <si>
    <t>PAT-5ea4b87a</t>
  </si>
  <si>
    <t>Renee Bruce</t>
  </si>
  <si>
    <t>PAT-e1eedc81</t>
  </si>
  <si>
    <t>Sabrina Austin</t>
  </si>
  <si>
    <t>PAT-c012faab</t>
  </si>
  <si>
    <t>Allison Hickman</t>
  </si>
  <si>
    <t>PAT-5a624c13</t>
  </si>
  <si>
    <t>Debra White</t>
  </si>
  <si>
    <t>PAT-c96abf5e</t>
  </si>
  <si>
    <t>Ellen Morgan</t>
  </si>
  <si>
    <t>PAT-2cbbc8fb</t>
  </si>
  <si>
    <t>Sergio Knight</t>
  </si>
  <si>
    <t>PAT-4ded9a32</t>
  </si>
  <si>
    <t>Charles Schultz</t>
  </si>
  <si>
    <t>PAT-86ba2b6b</t>
  </si>
  <si>
    <t>Paul Lewis</t>
  </si>
  <si>
    <t>PAT-6be745c6</t>
  </si>
  <si>
    <t>Glen Wood</t>
  </si>
  <si>
    <t>PAT-206c834e</t>
  </si>
  <si>
    <t>Paula Bradley</t>
  </si>
  <si>
    <t>PAT-9f0a00b8</t>
  </si>
  <si>
    <t>Anthony Moore</t>
  </si>
  <si>
    <t>PAT-178a21af</t>
  </si>
  <si>
    <t>Megan Nelson</t>
  </si>
  <si>
    <t>PAT-5580ba50</t>
  </si>
  <si>
    <t>Karla Ramos</t>
  </si>
  <si>
    <t>PAT-e6090bc8</t>
  </si>
  <si>
    <t>Paul Wilson</t>
  </si>
  <si>
    <t>PAT-bcb0f9f5</t>
  </si>
  <si>
    <t>Douglas Gregory</t>
  </si>
  <si>
    <t>PAT-2f96488b</t>
  </si>
  <si>
    <t>Mr. Andrew Foster</t>
  </si>
  <si>
    <t>PAT-0c7c720b</t>
  </si>
  <si>
    <t>Aimee Turner</t>
  </si>
  <si>
    <t>PAT-30f39386</t>
  </si>
  <si>
    <t>Chad Scott</t>
  </si>
  <si>
    <t>PAT-3a44c795</t>
  </si>
  <si>
    <t>Adam Burgess</t>
  </si>
  <si>
    <t>PAT-298a0534</t>
  </si>
  <si>
    <t>James Padilla</t>
  </si>
  <si>
    <t>PAT-1056838c</t>
  </si>
  <si>
    <t>Sandra Drake</t>
  </si>
  <si>
    <t>PAT-d25a486d</t>
  </si>
  <si>
    <t>Scott Williams</t>
  </si>
  <si>
    <t>PAT-02f2e75d</t>
  </si>
  <si>
    <t>Thomas Atkins</t>
  </si>
  <si>
    <t>PAT-5dfa0de8</t>
  </si>
  <si>
    <t>Laura Mckinney</t>
  </si>
  <si>
    <t>PAT-cdb97e8c</t>
  </si>
  <si>
    <t>Brian Smith</t>
  </si>
  <si>
    <t>PAT-a45144ba</t>
  </si>
  <si>
    <t>Robert Montgomery</t>
  </si>
  <si>
    <t>PAT-372943af</t>
  </si>
  <si>
    <t>Tamara Davis</t>
  </si>
  <si>
    <t>PAT-3a12adef</t>
  </si>
  <si>
    <t>Dana Chapman</t>
  </si>
  <si>
    <t>PAT-5528514b</t>
  </si>
  <si>
    <t>Jennifer Collins</t>
  </si>
  <si>
    <t>PAT-5d1f9ebb</t>
  </si>
  <si>
    <t>Gary Jackson</t>
  </si>
  <si>
    <t>PAT-3b87b085</t>
  </si>
  <si>
    <t>Ashley Hicks</t>
  </si>
  <si>
    <t>PAT-6bab5523</t>
  </si>
  <si>
    <t>Hannah Luna</t>
  </si>
  <si>
    <t>PAT-c13dc9cd</t>
  </si>
  <si>
    <t>Robin Young</t>
  </si>
  <si>
    <t>PAT-a2ce687a</t>
  </si>
  <si>
    <t>Craig Morrison</t>
  </si>
  <si>
    <t>PAT-e0bb6975</t>
  </si>
  <si>
    <t>Mary Thompson</t>
  </si>
  <si>
    <t>PAT-65cf6612</t>
  </si>
  <si>
    <t>Kathleen Webster</t>
  </si>
  <si>
    <t>PAT-73fe93af</t>
  </si>
  <si>
    <t>Joann Glass</t>
  </si>
  <si>
    <t>PAT-e746a0b3</t>
  </si>
  <si>
    <t>Madison Weber</t>
  </si>
  <si>
    <t>PAT-d9481512</t>
  </si>
  <si>
    <t>Lori Hernandez</t>
  </si>
  <si>
    <t>PAT-d01585f7</t>
  </si>
  <si>
    <t>Jeremy Turner</t>
  </si>
  <si>
    <t>PAT-c350b838</t>
  </si>
  <si>
    <t>Anthony Romero</t>
  </si>
  <si>
    <t>PAT-3de02e5b</t>
  </si>
  <si>
    <t>Jesse Brown</t>
  </si>
  <si>
    <t>PAT-032160f4</t>
  </si>
  <si>
    <t>Angela Lin</t>
  </si>
  <si>
    <t>PAT-c5ea2d51</t>
  </si>
  <si>
    <t>Lisa Hunter</t>
  </si>
  <si>
    <t>PAT-dccd21be</t>
  </si>
  <si>
    <t>Julian Conner</t>
  </si>
  <si>
    <t>PAT-1f61e183</t>
  </si>
  <si>
    <t>Joanna Pacheco</t>
  </si>
  <si>
    <t>PAT-57b9eff8</t>
  </si>
  <si>
    <t>Erica Alvarez</t>
  </si>
  <si>
    <t>PAT-e8f195d7</t>
  </si>
  <si>
    <t>Antonio Garcia</t>
  </si>
  <si>
    <t>PAT-38efddd3</t>
  </si>
  <si>
    <t>Gwendolyn Klein</t>
  </si>
  <si>
    <t>PAT-bcef354b</t>
  </si>
  <si>
    <t>Carrie Wright</t>
  </si>
  <si>
    <t>PAT-26a57bc7</t>
  </si>
  <si>
    <t>Jeffrey Mills</t>
  </si>
  <si>
    <t>PAT-2fcf5f77</t>
  </si>
  <si>
    <t>Jake Campbell</t>
  </si>
  <si>
    <t>PAT-044a304c</t>
  </si>
  <si>
    <t>George Harper</t>
  </si>
  <si>
    <t>PAT-5167d4ee</t>
  </si>
  <si>
    <t>Maria Jones</t>
  </si>
  <si>
    <t>PAT-884e92a2</t>
  </si>
  <si>
    <t>Michael Mitchell</t>
  </si>
  <si>
    <t>PAT-3d7ef7b5</t>
  </si>
  <si>
    <t>Mary Escobar</t>
  </si>
  <si>
    <t>PAT-9ab3b294</t>
  </si>
  <si>
    <t>Felicia Aguilar</t>
  </si>
  <si>
    <t>PAT-8496b80e</t>
  </si>
  <si>
    <t>Gregory Ponce</t>
  </si>
  <si>
    <t>PAT-d57b80b0</t>
  </si>
  <si>
    <t>Jenna Larson</t>
  </si>
  <si>
    <t>PAT-c811ab2c</t>
  </si>
  <si>
    <t>Emily Bennett</t>
  </si>
  <si>
    <t>PAT-6a58c511</t>
  </si>
  <si>
    <t>Robin Santiago</t>
  </si>
  <si>
    <t>PAT-7c20975d</t>
  </si>
  <si>
    <t>Nancy Jennings</t>
  </si>
  <si>
    <t>PAT-553b6a48</t>
  </si>
  <si>
    <t>Maria Henderson</t>
  </si>
  <si>
    <t>PAT-d571c058</t>
  </si>
  <si>
    <t>Jack White</t>
  </si>
  <si>
    <t>PAT-15b8abcc</t>
  </si>
  <si>
    <t>Travis Tucker</t>
  </si>
  <si>
    <t>PAT-41e896d3</t>
  </si>
  <si>
    <t>Chad Jones</t>
  </si>
  <si>
    <t>PAT-d61a871a</t>
  </si>
  <si>
    <t>Ashley Wise</t>
  </si>
  <si>
    <t>PAT-50579e1d</t>
  </si>
  <si>
    <t>Sophia Johnson</t>
  </si>
  <si>
    <t>PAT-e25fc9bd</t>
  </si>
  <si>
    <t>Ralph Anderson</t>
  </si>
  <si>
    <t>PAT-e5f5c1fb</t>
  </si>
  <si>
    <t>Christopher Guerra</t>
  </si>
  <si>
    <t>PAT-8156704f</t>
  </si>
  <si>
    <t>Rhonda Martin</t>
  </si>
  <si>
    <t>PAT-a674e677</t>
  </si>
  <si>
    <t>Jason Rhodes</t>
  </si>
  <si>
    <t>PAT-ad20c734</t>
  </si>
  <si>
    <t>Jeremy Mitchell</t>
  </si>
  <si>
    <t>PAT-0b69b6d1</t>
  </si>
  <si>
    <t>Joann Ferguson</t>
  </si>
  <si>
    <t>PAT-edbad772</t>
  </si>
  <si>
    <t>Robert Harrison</t>
  </si>
  <si>
    <t>PAT-c3e8e421</t>
  </si>
  <si>
    <t>Holly Valentine</t>
  </si>
  <si>
    <t>PAT-2a539c56</t>
  </si>
  <si>
    <t>Mrs. Diane Reyes</t>
  </si>
  <si>
    <t>PAT-98895bae</t>
  </si>
  <si>
    <t>Tracy Montoya</t>
  </si>
  <si>
    <t>PAT-93759aa2</t>
  </si>
  <si>
    <t>Brenda Wright</t>
  </si>
  <si>
    <t>PAT-a68b1005</t>
  </si>
  <si>
    <t>Shelly Spencer</t>
  </si>
  <si>
    <t>PAT-1d30e8d3</t>
  </si>
  <si>
    <t>Ryan Rosales</t>
  </si>
  <si>
    <t>PAT-95dfd43c</t>
  </si>
  <si>
    <t>Phillip Nelson</t>
  </si>
  <si>
    <t>PAT-4b5c839b</t>
  </si>
  <si>
    <t>Brittany Kim</t>
  </si>
  <si>
    <t>PAT-3cbb46ef</t>
  </si>
  <si>
    <t>Courtney Hayes</t>
  </si>
  <si>
    <t>PAT-d8b5f75c</t>
  </si>
  <si>
    <t>Alexander Brown</t>
  </si>
  <si>
    <t>PAT-60230dfe</t>
  </si>
  <si>
    <t>Cynthia Vang</t>
  </si>
  <si>
    <t>PAT-9507d0ed</t>
  </si>
  <si>
    <t>Alfred Galvan</t>
  </si>
  <si>
    <t>PAT-cd7b26f4</t>
  </si>
  <si>
    <t>Marie Moody</t>
  </si>
  <si>
    <t>PAT-fab8ee29</t>
  </si>
  <si>
    <t>Dustin Gallegos</t>
  </si>
  <si>
    <t>PAT-2c69345d</t>
  </si>
  <si>
    <t>Brenda Thornton</t>
  </si>
  <si>
    <t>PAT-8374cba5</t>
  </si>
  <si>
    <t>Aaron Miller</t>
  </si>
  <si>
    <t>PAT-8ef38395</t>
  </si>
  <si>
    <t>Ruben Dunn</t>
  </si>
  <si>
    <t>PAT-f92c667a</t>
  </si>
  <si>
    <t>Kelsey Rodriguez</t>
  </si>
  <si>
    <t>PAT-bda786d0</t>
  </si>
  <si>
    <t>Eric Williams</t>
  </si>
  <si>
    <t>PAT-6cd5f87c</t>
  </si>
  <si>
    <t>Riley Bryant</t>
  </si>
  <si>
    <t>PAT-c2c67af5</t>
  </si>
  <si>
    <t>Taylor Carlson</t>
  </si>
  <si>
    <t>PAT-ac3dafd9</t>
  </si>
  <si>
    <t>Jose Allen</t>
  </si>
  <si>
    <t>PAT-5e980326</t>
  </si>
  <si>
    <t>Jeffrey Mendez</t>
  </si>
  <si>
    <t>PAT-fcb4a649</t>
  </si>
  <si>
    <t>Jason Beck</t>
  </si>
  <si>
    <t>PAT-2343cf78</t>
  </si>
  <si>
    <t>William Jones</t>
  </si>
  <si>
    <t>PAT-4307e4fa</t>
  </si>
  <si>
    <t>Katie Mcneil</t>
  </si>
  <si>
    <t>PAT-82545b1e</t>
  </si>
  <si>
    <t>Jeanette Harrison</t>
  </si>
  <si>
    <t>PAT-5ce1547c</t>
  </si>
  <si>
    <t>Veronica King</t>
  </si>
  <si>
    <t>PAT-5d1ff7a3</t>
  </si>
  <si>
    <t>Richard Cooper</t>
  </si>
  <si>
    <t>PAT-5c8d5855</t>
  </si>
  <si>
    <t>Lori Ingram</t>
  </si>
  <si>
    <t>PAT-b2d6b78a</t>
  </si>
  <si>
    <t>Evelyn Williams</t>
  </si>
  <si>
    <t>PAT-e893850a</t>
  </si>
  <si>
    <t>Robin Thompson</t>
  </si>
  <si>
    <t>PAT-bc7c6516</t>
  </si>
  <si>
    <t>Julie Dominguez</t>
  </si>
  <si>
    <t>PAT-1f221580</t>
  </si>
  <si>
    <t>Robin Brown</t>
  </si>
  <si>
    <t>PAT-5bf36729</t>
  </si>
  <si>
    <t>Judith Carter</t>
  </si>
  <si>
    <t>PAT-5809aea6</t>
  </si>
  <si>
    <t>Curtis Williams</t>
  </si>
  <si>
    <t>PAT-2dce1645</t>
  </si>
  <si>
    <t>Kaylee Hays</t>
  </si>
  <si>
    <t>PAT-f801ed9b</t>
  </si>
  <si>
    <t>Dawn Mullins</t>
  </si>
  <si>
    <t>PAT-0faa8c27</t>
  </si>
  <si>
    <t>Howard Norman</t>
  </si>
  <si>
    <t>PAT-8b51e748</t>
  </si>
  <si>
    <t>Evelyn Martinez</t>
  </si>
  <si>
    <t>PAT-8bebbeb2</t>
  </si>
  <si>
    <t>Steve Paul</t>
  </si>
  <si>
    <t>PAT-ec245e75</t>
  </si>
  <si>
    <t>Jasmine Beltran</t>
  </si>
  <si>
    <t>PAT-254314e1</t>
  </si>
  <si>
    <t>Jonathan Glass MD</t>
  </si>
  <si>
    <t>PAT-15367ce5</t>
  </si>
  <si>
    <t>Monica Miller</t>
  </si>
  <si>
    <t>PAT-e9159794</t>
  </si>
  <si>
    <t>Samantha Gardner</t>
  </si>
  <si>
    <t>PAT-c8b28e19</t>
  </si>
  <si>
    <t>Bobby Guerrero</t>
  </si>
  <si>
    <t>PAT-367ddbef</t>
  </si>
  <si>
    <t>Lance Simmons</t>
  </si>
  <si>
    <t>PAT-c0a33763</t>
  </si>
  <si>
    <t>Heather Williams</t>
  </si>
  <si>
    <t>PAT-f894e827</t>
  </si>
  <si>
    <t>Heather Bolton</t>
  </si>
  <si>
    <t>PAT-88e17ded</t>
  </si>
  <si>
    <t>William Gould</t>
  </si>
  <si>
    <t>PAT-795870c2</t>
  </si>
  <si>
    <t>Mark Cox</t>
  </si>
  <si>
    <t>PAT-18fbae80</t>
  </si>
  <si>
    <t>Meghan Cisneros</t>
  </si>
  <si>
    <t>PAT-f344d86a</t>
  </si>
  <si>
    <t>Lawrence Harrington</t>
  </si>
  <si>
    <t>PAT-4d08cb63</t>
  </si>
  <si>
    <t>Austin Osborne</t>
  </si>
  <si>
    <t>PAT-12b5c5f7</t>
  </si>
  <si>
    <t>James Bradley</t>
  </si>
  <si>
    <t>PAT-afbd6440</t>
  </si>
  <si>
    <t>Meghan Rush</t>
  </si>
  <si>
    <t>PAT-45c8f5a0</t>
  </si>
  <si>
    <t>Phillip Berry</t>
  </si>
  <si>
    <t>PAT-0f73df9c</t>
  </si>
  <si>
    <t>Jennifer Banks</t>
  </si>
  <si>
    <t>PAT-46d4e74c</t>
  </si>
  <si>
    <t>Brian Fitzgerald</t>
  </si>
  <si>
    <t>PAT-4155dae7</t>
  </si>
  <si>
    <t>Mr. Justin Green III</t>
  </si>
  <si>
    <t>PAT-345029ce</t>
  </si>
  <si>
    <t>Zachary Mitchell</t>
  </si>
  <si>
    <t>PAT-2eab6131</t>
  </si>
  <si>
    <t>Katherine Martinez</t>
  </si>
  <si>
    <t>PAT-0977392c</t>
  </si>
  <si>
    <t>Jodi Roach</t>
  </si>
  <si>
    <t>PAT-3525a2c3</t>
  </si>
  <si>
    <t>Brandon Fleming</t>
  </si>
  <si>
    <t>PAT-2a3a6029</t>
  </si>
  <si>
    <t>Emma Reed</t>
  </si>
  <si>
    <t>PAT-3bafaea3</t>
  </si>
  <si>
    <t>Joshua Vance</t>
  </si>
  <si>
    <t>PAT-a0e7b02a</t>
  </si>
  <si>
    <t>Michelle Ho</t>
  </si>
  <si>
    <t>PAT-0f5b9763</t>
  </si>
  <si>
    <t>Rebecca Hicks</t>
  </si>
  <si>
    <t>PAT-f8324089</t>
  </si>
  <si>
    <t>Curtis Taylor</t>
  </si>
  <si>
    <t>PAT-d4fc50d8</t>
  </si>
  <si>
    <t>Allison Spencer</t>
  </si>
  <si>
    <t>PAT-67380558</t>
  </si>
  <si>
    <t>Robert Arnold</t>
  </si>
  <si>
    <t>PAT-7aeac4f3</t>
  </si>
  <si>
    <t>Angelica Parker</t>
  </si>
  <si>
    <t>PAT-ba250943</t>
  </si>
  <si>
    <t>Dr. Kelly Hammond DVM</t>
  </si>
  <si>
    <t>PAT-27c077ef</t>
  </si>
  <si>
    <t>William Day</t>
  </si>
  <si>
    <t>PAT-d6ffd992</t>
  </si>
  <si>
    <t>Michael Cooper</t>
  </si>
  <si>
    <t>PAT-76ff44cb</t>
  </si>
  <si>
    <t>Penny Bowman</t>
  </si>
  <si>
    <t>PAT-3b95ce51</t>
  </si>
  <si>
    <t>Vincent Reynolds</t>
  </si>
  <si>
    <t>PAT-686bfae7</t>
  </si>
  <si>
    <t>Amy Martinez</t>
  </si>
  <si>
    <t>PAT-b918d4e2</t>
  </si>
  <si>
    <t>Christopher Morris</t>
  </si>
  <si>
    <t>PAT-77822025</t>
  </si>
  <si>
    <t>Hannah Everett</t>
  </si>
  <si>
    <t>PAT-7fad2aee</t>
  </si>
  <si>
    <t>Sarah King</t>
  </si>
  <si>
    <t>PAT-3379da7e</t>
  </si>
  <si>
    <t>Krista Martinez</t>
  </si>
  <si>
    <t>PAT-21e42b2b</t>
  </si>
  <si>
    <t>Joseph Shaw</t>
  </si>
  <si>
    <t>PAT-a7f7e606</t>
  </si>
  <si>
    <t>Todd Moore</t>
  </si>
  <si>
    <t>PAT-6a9f0d15</t>
  </si>
  <si>
    <t>Michelle Jacobs</t>
  </si>
  <si>
    <t>PAT-ffc1144e</t>
  </si>
  <si>
    <t>Kristy Bryan</t>
  </si>
  <si>
    <t>PAT-6813152c</t>
  </si>
  <si>
    <t>Angel May</t>
  </si>
  <si>
    <t>PAT-10f41869</t>
  </si>
  <si>
    <t>Marilyn Wang</t>
  </si>
  <si>
    <t>PAT-67adae39</t>
  </si>
  <si>
    <t>Mark Jimenez</t>
  </si>
  <si>
    <t>PAT-5b68244f</t>
  </si>
  <si>
    <t>Donna Frye</t>
  </si>
  <si>
    <t>PAT-b4290793</t>
  </si>
  <si>
    <t>Dr. Michael Evans</t>
  </si>
  <si>
    <t>PAT-411f8861</t>
  </si>
  <si>
    <t>Anthony Gonzales</t>
  </si>
  <si>
    <t>PAT-1321d568</t>
  </si>
  <si>
    <t>Mr. Lawrence Edwards</t>
  </si>
  <si>
    <t>PAT-74867ab0</t>
  </si>
  <si>
    <t>Morgan Valencia</t>
  </si>
  <si>
    <t>PAT-ca39f1e1</t>
  </si>
  <si>
    <t>Bianca Wood</t>
  </si>
  <si>
    <t>PAT-32c5535c</t>
  </si>
  <si>
    <t>Emma Owens</t>
  </si>
  <si>
    <t>PAT-4583c07a</t>
  </si>
  <si>
    <t>PAT-1aacdb2d</t>
  </si>
  <si>
    <t>James Gilbert</t>
  </si>
  <si>
    <t>PAT-5ba32100</t>
  </si>
  <si>
    <t>Sean Moore</t>
  </si>
  <si>
    <t>PAT-fd037d8f</t>
  </si>
  <si>
    <t>Kenneth Edwards</t>
  </si>
  <si>
    <t>PAT-ce70039d</t>
  </si>
  <si>
    <t>Kathleen Robertson</t>
  </si>
  <si>
    <t>PAT-15a26fca</t>
  </si>
  <si>
    <t>Mr. Alexander Landry MD</t>
  </si>
  <si>
    <t>PAT-44becca8</t>
  </si>
  <si>
    <t>Cindy Gomez</t>
  </si>
  <si>
    <t>PAT-58e12445</t>
  </si>
  <si>
    <t>Johnny Khan</t>
  </si>
  <si>
    <t>PAT-c1f5c251</t>
  </si>
  <si>
    <t>Julie Herrera</t>
  </si>
  <si>
    <t>PAT-22e514d2</t>
  </si>
  <si>
    <t>Jessica Khan</t>
  </si>
  <si>
    <t>PAT-96af7c34</t>
  </si>
  <si>
    <t>Pamela Diaz</t>
  </si>
  <si>
    <t>PAT-41d1a181</t>
  </si>
  <si>
    <t>Kelly Lee</t>
  </si>
  <si>
    <t>PAT-301d1f28</t>
  </si>
  <si>
    <t>Angel Gordon</t>
  </si>
  <si>
    <t>PAT-092d752e</t>
  </si>
  <si>
    <t>Diana Hays</t>
  </si>
  <si>
    <t>PAT-f93d4260</t>
  </si>
  <si>
    <t>Barbara Hester</t>
  </si>
  <si>
    <t>PAT-1d55b217</t>
  </si>
  <si>
    <t>Robert Morgan</t>
  </si>
  <si>
    <t>PAT-9afa1171</t>
  </si>
  <si>
    <t>Nicole Gonzalez</t>
  </si>
  <si>
    <t>PAT-8d32ebab</t>
  </si>
  <si>
    <t>Kathryn Williams</t>
  </si>
  <si>
    <t>PAT-14171b1d</t>
  </si>
  <si>
    <t>Gary Wells</t>
  </si>
  <si>
    <t>PAT-d0d89050</t>
  </si>
  <si>
    <t>Larry Robertson</t>
  </si>
  <si>
    <t>PAT-92f8e4bd</t>
  </si>
  <si>
    <t>Louis Martin</t>
  </si>
  <si>
    <t>PAT-f45dc598</t>
  </si>
  <si>
    <t>Nancy Evans MD</t>
  </si>
  <si>
    <t>PAT-3e5b33b6</t>
  </si>
  <si>
    <t>Kim Erickson</t>
  </si>
  <si>
    <t>PAT-cdd8d70b</t>
  </si>
  <si>
    <t>Robert Richardson</t>
  </si>
  <si>
    <t>PAT-d5b3c5bd</t>
  </si>
  <si>
    <t>Veronica Silva</t>
  </si>
  <si>
    <t>PAT-c0589f05</t>
  </si>
  <si>
    <t>Molly Watts</t>
  </si>
  <si>
    <t>PAT-ebb0fd45</t>
  </si>
  <si>
    <t>John Coffey</t>
  </si>
  <si>
    <t>PAT-8ab0d795</t>
  </si>
  <si>
    <t>Paula Lane</t>
  </si>
  <si>
    <t>PAT-78c92ad4</t>
  </si>
  <si>
    <t>Lauren Jackson</t>
  </si>
  <si>
    <t>PAT-71578f0d</t>
  </si>
  <si>
    <t>Lisa Randall</t>
  </si>
  <si>
    <t>PAT-f804d47a</t>
  </si>
  <si>
    <t>Michael Johnson</t>
  </si>
  <si>
    <t>PAT-1112a754</t>
  </si>
  <si>
    <t>Ashley Smith</t>
  </si>
  <si>
    <t>PAT-e9c66e7a</t>
  </si>
  <si>
    <t>Christian Vaughn</t>
  </si>
  <si>
    <t>PAT-797179a8</t>
  </si>
  <si>
    <t>Reginald Knapp</t>
  </si>
  <si>
    <t>PAT-0cdbda5c</t>
  </si>
  <si>
    <t>Nancy Brown</t>
  </si>
  <si>
    <t>PAT-2d5f4210</t>
  </si>
  <si>
    <t>Daniel Nguyen</t>
  </si>
  <si>
    <t>PAT-a95f6d9a</t>
  </si>
  <si>
    <t>Kelly Edwards</t>
  </si>
  <si>
    <t>PAT-8a8a2306</t>
  </si>
  <si>
    <t>Thomas Peterson</t>
  </si>
  <si>
    <t>PAT-5fa02ec0</t>
  </si>
  <si>
    <t>Raymond Le</t>
  </si>
  <si>
    <t>PAT-7ea2b8a9</t>
  </si>
  <si>
    <t>Melissa Bishop</t>
  </si>
  <si>
    <t>PAT-af3e8f0a</t>
  </si>
  <si>
    <t>David Grant</t>
  </si>
  <si>
    <t>PAT-08cfcfe4</t>
  </si>
  <si>
    <t>William Evans</t>
  </si>
  <si>
    <t>PAT-ec73ad08</t>
  </si>
  <si>
    <t>Daniel Bush</t>
  </si>
  <si>
    <t>PAT-feed729e</t>
  </si>
  <si>
    <t>Gregory Peck</t>
  </si>
  <si>
    <t>PAT-ce009d6c</t>
  </si>
  <si>
    <t>Denise Martinez</t>
  </si>
  <si>
    <t>PAT-644e794a</t>
  </si>
  <si>
    <t>Jamie Baird</t>
  </si>
  <si>
    <t>PAT-c30d956f</t>
  </si>
  <si>
    <t>Tina Ballard</t>
  </si>
  <si>
    <t>PAT-d5107b3f</t>
  </si>
  <si>
    <t>Dwayne Klein</t>
  </si>
  <si>
    <t>PAT-3dc38162</t>
  </si>
  <si>
    <t>Jeremy Scott</t>
  </si>
  <si>
    <t>PAT-b3d36402</t>
  </si>
  <si>
    <t>Dale Ryan</t>
  </si>
  <si>
    <t>PAT-d4cb5f94</t>
  </si>
  <si>
    <t>Melissa Taylor</t>
  </si>
  <si>
    <t>PAT-98de3daa</t>
  </si>
  <si>
    <t>Laurie Sanchez</t>
  </si>
  <si>
    <t>PAT-57cfea87</t>
  </si>
  <si>
    <t>Kiara Little</t>
  </si>
  <si>
    <t>PAT-2cd729ed</t>
  </si>
  <si>
    <t>Jason Love</t>
  </si>
  <si>
    <t>PAT-58a77385</t>
  </si>
  <si>
    <t>Randy Smith</t>
  </si>
  <si>
    <t>PAT-217cc5b5</t>
  </si>
  <si>
    <t>Tanya Russell</t>
  </si>
  <si>
    <t>PAT-71152f09</t>
  </si>
  <si>
    <t>Sherry Woods</t>
  </si>
  <si>
    <t>PAT-66715fd4</t>
  </si>
  <si>
    <t>Victor Morris</t>
  </si>
  <si>
    <t>PAT-7a6aaa25</t>
  </si>
  <si>
    <t>Susan Davis</t>
  </si>
  <si>
    <t>PAT-b9cb708e</t>
  </si>
  <si>
    <t>Kimberly Sharp</t>
  </si>
  <si>
    <t>PAT-2ca10907</t>
  </si>
  <si>
    <t>Susan Thompson</t>
  </si>
  <si>
    <t>PAT-8ae5951e</t>
  </si>
  <si>
    <t>Casey Gillespie</t>
  </si>
  <si>
    <t>PAT-1b2195ca</t>
  </si>
  <si>
    <t>Jennifer Simpson DVM</t>
  </si>
  <si>
    <t>PAT-0f24de9a</t>
  </si>
  <si>
    <t>Tammy Mcdowell</t>
  </si>
  <si>
    <t>PAT-ed96c501</t>
  </si>
  <si>
    <t>Keith Rodriguez</t>
  </si>
  <si>
    <t>PAT-bc8933d5</t>
  </si>
  <si>
    <t>Mrs. Virginia Daniels</t>
  </si>
  <si>
    <t>PAT-899829ab</t>
  </si>
  <si>
    <t>Todd Rosales MD</t>
  </si>
  <si>
    <t>PAT-63f06a70</t>
  </si>
  <si>
    <t>Brian Martin</t>
  </si>
  <si>
    <t>PAT-1def560a</t>
  </si>
  <si>
    <t>David Lopez</t>
  </si>
  <si>
    <t>PAT-3764a931</t>
  </si>
  <si>
    <t>Rachel Bradley</t>
  </si>
  <si>
    <t>PAT-5228b8e2</t>
  </si>
  <si>
    <t>Casey Chase</t>
  </si>
  <si>
    <t>PAT-bfab57a1</t>
  </si>
  <si>
    <t>Samantha Robertson</t>
  </si>
  <si>
    <t>PAT-40e4a08e</t>
  </si>
  <si>
    <t>Michael Lopez</t>
  </si>
  <si>
    <t>PAT-153d6e29</t>
  </si>
  <si>
    <t>Franklin Wright</t>
  </si>
  <si>
    <t>PAT-875ff60a</t>
  </si>
  <si>
    <t>David Molina</t>
  </si>
  <si>
    <t>PAT-98218167</t>
  </si>
  <si>
    <t>Elizabeth Sharp</t>
  </si>
  <si>
    <t>PAT-4b0d36e5</t>
  </si>
  <si>
    <t>Matthew Schwartz</t>
  </si>
  <si>
    <t>PAT-5ee95f95</t>
  </si>
  <si>
    <t>Bryan Parker</t>
  </si>
  <si>
    <t>PAT-bb0d37fb</t>
  </si>
  <si>
    <t>Jonathan Jacobson</t>
  </si>
  <si>
    <t>PAT-b7a3a7b5</t>
  </si>
  <si>
    <t>Emily Wilson</t>
  </si>
  <si>
    <t>PAT-965208ae</t>
  </si>
  <si>
    <t>Elizabeth Mendez</t>
  </si>
  <si>
    <t>PAT-e21e7d5d</t>
  </si>
  <si>
    <t>Casey Hernandez</t>
  </si>
  <si>
    <t>PAT-5d29efde</t>
  </si>
  <si>
    <t>Lisa Perry</t>
  </si>
  <si>
    <t>PAT-c6173e0e</t>
  </si>
  <si>
    <t>Kaitlin Medina</t>
  </si>
  <si>
    <t>PAT-27a4ae9d</t>
  </si>
  <si>
    <t>Colleen Wright</t>
  </si>
  <si>
    <t>PAT-cbf5ef6b</t>
  </si>
  <si>
    <t>Shelley Miller</t>
  </si>
  <si>
    <t>PAT-f2c06525</t>
  </si>
  <si>
    <t>Michael Miller</t>
  </si>
  <si>
    <t>PAT-91fbb614</t>
  </si>
  <si>
    <t>Amy Kelley</t>
  </si>
  <si>
    <t>PAT-3c3b686e</t>
  </si>
  <si>
    <t>Laura Hernandez</t>
  </si>
  <si>
    <t>PAT-0b7a9b1a</t>
  </si>
  <si>
    <t>Joseph Wilson</t>
  </si>
  <si>
    <t>PAT-e0528d5b</t>
  </si>
  <si>
    <t>Kevin Davis</t>
  </si>
  <si>
    <t>PAT-91801a46</t>
  </si>
  <si>
    <t>Rhonda Chavez</t>
  </si>
  <si>
    <t>PAT-6fc0d4bc</t>
  </si>
  <si>
    <t>Joyce Brown</t>
  </si>
  <si>
    <t>PAT-8cc62151</t>
  </si>
  <si>
    <t>Robert Cummings</t>
  </si>
  <si>
    <t>PAT-6f6aab68</t>
  </si>
  <si>
    <t>Robert Reese</t>
  </si>
  <si>
    <t>PAT-32bcc4bc</t>
  </si>
  <si>
    <t>Amber Cooper</t>
  </si>
  <si>
    <t>PAT-68f98442</t>
  </si>
  <si>
    <t>Zachary Michael</t>
  </si>
  <si>
    <t>PAT-75899c2c</t>
  </si>
  <si>
    <t>Timothy Johnson</t>
  </si>
  <si>
    <t>PAT-bd4c2b5a</t>
  </si>
  <si>
    <t>Randy Cannon</t>
  </si>
  <si>
    <t>PAT-d76b4457</t>
  </si>
  <si>
    <t>Maria Fisher</t>
  </si>
  <si>
    <t>PAT-1b2fe77a</t>
  </si>
  <si>
    <t>Janet Kane DVM</t>
  </si>
  <si>
    <t>PAT-b1c0d6fc</t>
  </si>
  <si>
    <t>Michael Stanley</t>
  </si>
  <si>
    <t>PAT-ac74c7d9</t>
  </si>
  <si>
    <t>Martha Bailey</t>
  </si>
  <si>
    <t>PAT-b10b358e</t>
  </si>
  <si>
    <t>Joshua Rice</t>
  </si>
  <si>
    <t>PAT-7d80fdf8</t>
  </si>
  <si>
    <t>Courtney Smith</t>
  </si>
  <si>
    <t>PAT-4d723c2b</t>
  </si>
  <si>
    <t>Edwin Nunez</t>
  </si>
  <si>
    <t>PAT-20e12483</t>
  </si>
  <si>
    <t>Kim Morrow</t>
  </si>
  <si>
    <t>PAT-0a43159b</t>
  </si>
  <si>
    <t>Gregory Hill</t>
  </si>
  <si>
    <t>PAT-648c8bc7</t>
  </si>
  <si>
    <t>Molly Rodriguez</t>
  </si>
  <si>
    <t>PAT-a1761f12</t>
  </si>
  <si>
    <t>Jennifer Miranda</t>
  </si>
  <si>
    <t>PAT-4428a64a</t>
  </si>
  <si>
    <t>Alexis Harris</t>
  </si>
  <si>
    <t>PAT-7472f19a</t>
  </si>
  <si>
    <t>Andrew Harper</t>
  </si>
  <si>
    <t>PAT-456107ba</t>
  </si>
  <si>
    <t>Amber Yang</t>
  </si>
  <si>
    <t>PAT-55d9fc4e</t>
  </si>
  <si>
    <t>David Robinson</t>
  </si>
  <si>
    <t>PAT-0fb05dda</t>
  </si>
  <si>
    <t>Amy Gordon</t>
  </si>
  <si>
    <t>PAT-21f7def6</t>
  </si>
  <si>
    <t>Robert Dennis</t>
  </si>
  <si>
    <t>PAT-c53eaa83</t>
  </si>
  <si>
    <t>Kyle Chambers</t>
  </si>
  <si>
    <t>PAT-9f30d836</t>
  </si>
  <si>
    <t>Eric Thomas</t>
  </si>
  <si>
    <t>PAT-c36208df</t>
  </si>
  <si>
    <t>Connie Turner</t>
  </si>
  <si>
    <t>PAT-954bb8a1</t>
  </si>
  <si>
    <t>Travis Hobbs</t>
  </si>
  <si>
    <t>PAT-e23ed8bc</t>
  </si>
  <si>
    <t>Lori Simmons</t>
  </si>
  <si>
    <t>PAT-c586fb1a</t>
  </si>
  <si>
    <t>William David DDS</t>
  </si>
  <si>
    <t>PAT-f2a1c816</t>
  </si>
  <si>
    <t>Emma Butler</t>
  </si>
  <si>
    <t>PAT-4a9c8a71</t>
  </si>
  <si>
    <t>James Webster</t>
  </si>
  <si>
    <t>PAT-0ced5480</t>
  </si>
  <si>
    <t>Samuel Turner</t>
  </si>
  <si>
    <t>PAT-31dd253c</t>
  </si>
  <si>
    <t>Renee Melendez</t>
  </si>
  <si>
    <t>PAT-2b9ef954</t>
  </si>
  <si>
    <t>Tracy Grant</t>
  </si>
  <si>
    <t>PAT-27519dd1</t>
  </si>
  <si>
    <t>David Harris</t>
  </si>
  <si>
    <t>PAT-e516fb11</t>
  </si>
  <si>
    <t>Tammy Boone</t>
  </si>
  <si>
    <t>PAT-7e498fde</t>
  </si>
  <si>
    <t>Nathaniel Lee</t>
  </si>
  <si>
    <t>PAT-07a9ee88</t>
  </si>
  <si>
    <t>Michael Morrison</t>
  </si>
  <si>
    <t>PAT-c671db5c</t>
  </si>
  <si>
    <t>Chelsea Gill</t>
  </si>
  <si>
    <t>PAT-1d334b29</t>
  </si>
  <si>
    <t>Kristin Mendoza</t>
  </si>
  <si>
    <t>PAT-637291af</t>
  </si>
  <si>
    <t>Felicia Krueger</t>
  </si>
  <si>
    <t>PAT-5ec9e0ff</t>
  </si>
  <si>
    <t>Timothy Hayden</t>
  </si>
  <si>
    <t>PAT-fc0fba74</t>
  </si>
  <si>
    <t>Zachary Mendoza</t>
  </si>
  <si>
    <t>PAT-7831a60c</t>
  </si>
  <si>
    <t>Larry Harris</t>
  </si>
  <si>
    <t>PAT-4d8aaa7b</t>
  </si>
  <si>
    <t>Kristen Rowe</t>
  </si>
  <si>
    <t>PAT-4b2d028b</t>
  </si>
  <si>
    <t>Joseph Howard</t>
  </si>
  <si>
    <t>PAT-673f9fe1</t>
  </si>
  <si>
    <t>Jose Crawford</t>
  </si>
  <si>
    <t>PAT-f3116f83</t>
  </si>
  <si>
    <t>William Harrison</t>
  </si>
  <si>
    <t>PAT-cc436e98</t>
  </si>
  <si>
    <t>Suzanne Wood</t>
  </si>
  <si>
    <t>PAT-9a867125</t>
  </si>
  <si>
    <t>Justin Walker</t>
  </si>
  <si>
    <t>PAT-03f5abbe</t>
  </si>
  <si>
    <t>Dean Donovan</t>
  </si>
  <si>
    <t>PAT-c3cf62f7</t>
  </si>
  <si>
    <t>Jennifer Hernandez</t>
  </si>
  <si>
    <t>PAT-bd6118dc</t>
  </si>
  <si>
    <t>James Whitaker</t>
  </si>
  <si>
    <t>PAT-b552e40a</t>
  </si>
  <si>
    <t>Mr. Michael Scott PhD</t>
  </si>
  <si>
    <t>PAT-475c1770</t>
  </si>
  <si>
    <t>Maria Henry</t>
  </si>
  <si>
    <t>PAT-07c275e3</t>
  </si>
  <si>
    <t>Robert Jackson</t>
  </si>
  <si>
    <t>PAT-894839fd</t>
  </si>
  <si>
    <t>Katherine Stark</t>
  </si>
  <si>
    <t>PAT-da8312ed</t>
  </si>
  <si>
    <t>Maria Brown</t>
  </si>
  <si>
    <t>PAT-159b170a</t>
  </si>
  <si>
    <t>Ryan Landry</t>
  </si>
  <si>
    <t>PAT-281c31d6</t>
  </si>
  <si>
    <t>Pamela Gutierrez</t>
  </si>
  <si>
    <t>PAT-366e54bd</t>
  </si>
  <si>
    <t>Crystal Mann</t>
  </si>
  <si>
    <t>PAT-9206ac07</t>
  </si>
  <si>
    <t>Jonathan Brooks</t>
  </si>
  <si>
    <t>PAT-4afc065e</t>
  </si>
  <si>
    <t>Mary Jensen</t>
  </si>
  <si>
    <t>PAT-233cf65d</t>
  </si>
  <si>
    <t>Mr. Aaron Arnold</t>
  </si>
  <si>
    <t>PAT-e4c5c9cb</t>
  </si>
  <si>
    <t>Joseph Hill</t>
  </si>
  <si>
    <t>PAT-6ac51a4a</t>
  </si>
  <si>
    <t>Alicia Li</t>
  </si>
  <si>
    <t>PAT-207eeee9</t>
  </si>
  <si>
    <t>Renee Browning</t>
  </si>
  <si>
    <t>PAT-bdf625cd</t>
  </si>
  <si>
    <t>Brent Hernandez</t>
  </si>
  <si>
    <t>PAT-95b718f5</t>
  </si>
  <si>
    <t>Joseph Ochoa</t>
  </si>
  <si>
    <t>PAT-553df120</t>
  </si>
  <si>
    <t>James Watson</t>
  </si>
  <si>
    <t>PAT-e0426fb6</t>
  </si>
  <si>
    <t>Karl Branch</t>
  </si>
  <si>
    <t>PAT-baaa8d0d</t>
  </si>
  <si>
    <t>Michael Abbott</t>
  </si>
  <si>
    <t>PAT-7be09c6f</t>
  </si>
  <si>
    <t>Shannon Malone</t>
  </si>
  <si>
    <t>PAT-d3985fe7</t>
  </si>
  <si>
    <t>James Tran</t>
  </si>
  <si>
    <t>PAT-09edc78a</t>
  </si>
  <si>
    <t>Adam Jackson</t>
  </si>
  <si>
    <t>PAT-897e4be6</t>
  </si>
  <si>
    <t>Mr. Richard Knight PhD</t>
  </si>
  <si>
    <t>PAT-d1449d33</t>
  </si>
  <si>
    <t>Joseph Williams</t>
  </si>
  <si>
    <t>PAT-236e8970</t>
  </si>
  <si>
    <t>Sean Clay</t>
  </si>
  <si>
    <t>PAT-3477ec8b</t>
  </si>
  <si>
    <t>Anthony Jones</t>
  </si>
  <si>
    <t>PAT-6ac55517</t>
  </si>
  <si>
    <t>Stephanie Elliott</t>
  </si>
  <si>
    <t>PAT-a7915775</t>
  </si>
  <si>
    <t>Timothy Edwards</t>
  </si>
  <si>
    <t>PAT-64f49895</t>
  </si>
  <si>
    <t>Laurie Goodwin</t>
  </si>
  <si>
    <t>PAT-b3a107ff</t>
  </si>
  <si>
    <t>Jennifer Jones</t>
  </si>
  <si>
    <t>PAT-5f71cf54</t>
  </si>
  <si>
    <t>David Davenport</t>
  </si>
  <si>
    <t>PAT-c2eeaec2</t>
  </si>
  <si>
    <t>Steven Rivera</t>
  </si>
  <si>
    <t>PAT-5e8ef805</t>
  </si>
  <si>
    <t>Brenda Hinton</t>
  </si>
  <si>
    <t>PAT-51be495d</t>
  </si>
  <si>
    <t>Kathryn Mccann</t>
  </si>
  <si>
    <t>PAT-76b8f034</t>
  </si>
  <si>
    <t>Jeffrey Roberson</t>
  </si>
  <si>
    <t>PAT-1a4bb823</t>
  </si>
  <si>
    <t>Randy Friedman</t>
  </si>
  <si>
    <t>PAT-69c66880</t>
  </si>
  <si>
    <t>Raymond Johnson</t>
  </si>
  <si>
    <t>PAT-4e3684c3</t>
  </si>
  <si>
    <t>Willie Henry</t>
  </si>
  <si>
    <t>PAT-4dfe566b</t>
  </si>
  <si>
    <t>Todd Reynolds</t>
  </si>
  <si>
    <t>PAT-17ceaafc</t>
  </si>
  <si>
    <t>Mary Miller</t>
  </si>
  <si>
    <t>PAT-633e82db</t>
  </si>
  <si>
    <t>Rebecca Marquez</t>
  </si>
  <si>
    <t>PAT-431e5a3d</t>
  </si>
  <si>
    <t>Christian Dawson</t>
  </si>
  <si>
    <t>PAT-0d73fc32</t>
  </si>
  <si>
    <t>Nancy Stewart</t>
  </si>
  <si>
    <t>PAT-0f8876bf</t>
  </si>
  <si>
    <t>Aaron Parker</t>
  </si>
  <si>
    <t>PAT-120a3270</t>
  </si>
  <si>
    <t>Derrick Anderson</t>
  </si>
  <si>
    <t>PAT-2d4ae2a6</t>
  </si>
  <si>
    <t>Jerry Peters</t>
  </si>
  <si>
    <t>PAT-06a8ea25</t>
  </si>
  <si>
    <t>Alexander Gomez</t>
  </si>
  <si>
    <t>PAT-3f935d42</t>
  </si>
  <si>
    <t>Kyle Nguyen</t>
  </si>
  <si>
    <t>PAT-eaf3d995</t>
  </si>
  <si>
    <t>Edgar Hughes</t>
  </si>
  <si>
    <t>PAT-fafd3c1f</t>
  </si>
  <si>
    <t>Steven Stein</t>
  </si>
  <si>
    <t>PAT-d8d3e8e6</t>
  </si>
  <si>
    <t>Laura Jackson</t>
  </si>
  <si>
    <t>PAT-33a6b3b7</t>
  </si>
  <si>
    <t>Charles Turner</t>
  </si>
  <si>
    <t>PAT-3b7a6a71</t>
  </si>
  <si>
    <t>Arthur Hamilton MD</t>
  </si>
  <si>
    <t>PAT-3abe7e51</t>
  </si>
  <si>
    <t>Mr. David Wright</t>
  </si>
  <si>
    <t>PAT-828e43f6</t>
  </si>
  <si>
    <t>Linda Gonzalez</t>
  </si>
  <si>
    <t>PAT-f0b826f4</t>
  </si>
  <si>
    <t>Eric Rush</t>
  </si>
  <si>
    <t>PAT-4252f4aa</t>
  </si>
  <si>
    <t>Manuel Brock</t>
  </si>
  <si>
    <t>PAT-f0121d06</t>
  </si>
  <si>
    <t>George Ochoa</t>
  </si>
  <si>
    <t>PAT-a7f5edb5</t>
  </si>
  <si>
    <t>Valerie Taylor</t>
  </si>
  <si>
    <t>PAT-a67c43c0</t>
  </si>
  <si>
    <t>Travis Harris</t>
  </si>
  <si>
    <t>PAT-f7527244</t>
  </si>
  <si>
    <t>Vincent Novak</t>
  </si>
  <si>
    <t>PAT-0e5edb85</t>
  </si>
  <si>
    <t>Michael Henry</t>
  </si>
  <si>
    <t>PAT-48e68823</t>
  </si>
  <si>
    <t>Dana Bennett</t>
  </si>
  <si>
    <t>PAT-700dfc8e</t>
  </si>
  <si>
    <t>Jenna Wilson</t>
  </si>
  <si>
    <t>PAT-62535599</t>
  </si>
  <si>
    <t>Leslie Gardner</t>
  </si>
  <si>
    <t>PAT-78fbf23e</t>
  </si>
  <si>
    <t>Krista Benton</t>
  </si>
  <si>
    <t>PAT-c992d6dc</t>
  </si>
  <si>
    <t>Michael Gonzales</t>
  </si>
  <si>
    <t>PAT-78e6425f</t>
  </si>
  <si>
    <t>Michael Fuentes</t>
  </si>
  <si>
    <t>PAT-608c9812</t>
  </si>
  <si>
    <t>Jennifer Porter</t>
  </si>
  <si>
    <t>PAT-6d0c98de</t>
  </si>
  <si>
    <t>Dana Hopkins</t>
  </si>
  <si>
    <t>PAT-4102c22f</t>
  </si>
  <si>
    <t>Rachel Jones</t>
  </si>
  <si>
    <t>PAT-99cf78d9</t>
  </si>
  <si>
    <t>Karen Morales DDS</t>
  </si>
  <si>
    <t>PAT-f0066d28</t>
  </si>
  <si>
    <t>Melissa Stephens</t>
  </si>
  <si>
    <t>PAT-3e469538</t>
  </si>
  <si>
    <t>Heather Woodard</t>
  </si>
  <si>
    <t>PAT-ec3ac1ec</t>
  </si>
  <si>
    <t>Margaret Miller</t>
  </si>
  <si>
    <t>PAT-274cecf8</t>
  </si>
  <si>
    <t>Mary Kelly</t>
  </si>
  <si>
    <t>PAT-3ca8e0e7</t>
  </si>
  <si>
    <t>Amanda Terrell</t>
  </si>
  <si>
    <t>PAT-41d3ebd2</t>
  </si>
  <si>
    <t>Jennifer Goodwin</t>
  </si>
  <si>
    <t>PAT-487252c6</t>
  </si>
  <si>
    <t>Jessica Smith</t>
  </si>
  <si>
    <t>PAT-b00a1c8a</t>
  </si>
  <si>
    <t>Jorge Stone</t>
  </si>
  <si>
    <t>PAT-fe5fc1e8</t>
  </si>
  <si>
    <t>Laura Griffin</t>
  </si>
  <si>
    <t>PAT-20f95ce5</t>
  </si>
  <si>
    <t>Raymond Chapman</t>
  </si>
  <si>
    <t>PAT-b32de03e</t>
  </si>
  <si>
    <t>Haley Johnson</t>
  </si>
  <si>
    <t>PAT-e9f8507e</t>
  </si>
  <si>
    <t>Jason Nixon</t>
  </si>
  <si>
    <t>PAT-476d27b6</t>
  </si>
  <si>
    <t>Todd Thomas</t>
  </si>
  <si>
    <t>PAT-c1339d9f</t>
  </si>
  <si>
    <t>Jesse Clark</t>
  </si>
  <si>
    <t>PAT-b129e285</t>
  </si>
  <si>
    <t>Mr. Jeffrey Horton</t>
  </si>
  <si>
    <t>PAT-d0ca3709</t>
  </si>
  <si>
    <t>Eric Patrick</t>
  </si>
  <si>
    <t>PAT-b2e7e433</t>
  </si>
  <si>
    <t>Samuel Wong</t>
  </si>
  <si>
    <t>PAT-b508e693</t>
  </si>
  <si>
    <t>Carly Riggs</t>
  </si>
  <si>
    <t>PAT-e0c6b792</t>
  </si>
  <si>
    <t>Christopher Moore</t>
  </si>
  <si>
    <t>PAT-1f02565c</t>
  </si>
  <si>
    <t>Tina Hall</t>
  </si>
  <si>
    <t>PAT-9d0a8b4f</t>
  </si>
  <si>
    <t>Cody Davidson</t>
  </si>
  <si>
    <t>PAT-0bc36736</t>
  </si>
  <si>
    <t>Allen Mendez</t>
  </si>
  <si>
    <t>PAT-830ce447</t>
  </si>
  <si>
    <t>Kevin Price</t>
  </si>
  <si>
    <t>PAT-22448826</t>
  </si>
  <si>
    <t>Christine Goodwin</t>
  </si>
  <si>
    <t>PAT-85f8f76d</t>
  </si>
  <si>
    <t>Amy Garcia</t>
  </si>
  <si>
    <t>PAT-ca8b7c4f</t>
  </si>
  <si>
    <t>Chelsea Nguyen</t>
  </si>
  <si>
    <t>PAT-1a39f5ef</t>
  </si>
  <si>
    <t>Dennis Huffman</t>
  </si>
  <si>
    <t>PAT-84d9b53b</t>
  </si>
  <si>
    <t>Margaret Harper</t>
  </si>
  <si>
    <t>PAT-2f062625</t>
  </si>
  <si>
    <t>Laurie Bailey</t>
  </si>
  <si>
    <t>PAT-50e9a26e</t>
  </si>
  <si>
    <t>Lisa Cervantes</t>
  </si>
  <si>
    <t>PAT-c3770ed2</t>
  </si>
  <si>
    <t>PAT-8b4592fd</t>
  </si>
  <si>
    <t>Cesar Wilson</t>
  </si>
  <si>
    <t>PAT-65dd44b9</t>
  </si>
  <si>
    <t>Clayton Steele</t>
  </si>
  <si>
    <t>PAT-b945140c</t>
  </si>
  <si>
    <t>Jennifer Taylor</t>
  </si>
  <si>
    <t>PAT-b0296eda</t>
  </si>
  <si>
    <t>Cody Reid</t>
  </si>
  <si>
    <t>PAT-461d939d</t>
  </si>
  <si>
    <t>Maria Cooke</t>
  </si>
  <si>
    <t>PAT-c5d69767</t>
  </si>
  <si>
    <t>Katherine Taylor</t>
  </si>
  <si>
    <t>PAT-896954ce</t>
  </si>
  <si>
    <t>Jerry Brown</t>
  </si>
  <si>
    <t>PAT-76b1239a</t>
  </si>
  <si>
    <t>Adam Taylor</t>
  </si>
  <si>
    <t>PAT-9f7441a4</t>
  </si>
  <si>
    <t>Tracey Wagner</t>
  </si>
  <si>
    <t>PAT-32b3846f</t>
  </si>
  <si>
    <t>Michael Perry PhD</t>
  </si>
  <si>
    <t>PAT-04be60be</t>
  </si>
  <si>
    <t>Bradley Johnson DDS</t>
  </si>
  <si>
    <t>PAT-06d975bc</t>
  </si>
  <si>
    <t>Donald Medina</t>
  </si>
  <si>
    <t>PAT-edd51a1d</t>
  </si>
  <si>
    <t>Jim Newton</t>
  </si>
  <si>
    <t>PAT-25e652d5</t>
  </si>
  <si>
    <t>Krista Wilson</t>
  </si>
  <si>
    <t>PAT-be6b1a7e</t>
  </si>
  <si>
    <t>Reginald Morrow</t>
  </si>
  <si>
    <t>PAT-5f036208</t>
  </si>
  <si>
    <t>Rodney Williams</t>
  </si>
  <si>
    <t>PAT-3c5ad566</t>
  </si>
  <si>
    <t>Kimberly Fritz</t>
  </si>
  <si>
    <t>PAT-1cb58eb1</t>
  </si>
  <si>
    <t>Ronald Potter</t>
  </si>
  <si>
    <t>PAT-84383577</t>
  </si>
  <si>
    <t>Zachary Cole</t>
  </si>
  <si>
    <t>PAT-3387a766</t>
  </si>
  <si>
    <t>Robert Gonzales</t>
  </si>
  <si>
    <t>PAT-534552ce</t>
  </si>
  <si>
    <t>Patricia Young PhD</t>
  </si>
  <si>
    <t>PAT-bcfd658d</t>
  </si>
  <si>
    <t>Heather Page</t>
  </si>
  <si>
    <t>PAT-b790e9a4</t>
  </si>
  <si>
    <t>Carol Taylor</t>
  </si>
  <si>
    <t>PAT-b963abd9</t>
  </si>
  <si>
    <t>Daniel Brown</t>
  </si>
  <si>
    <t>PAT-4da378df</t>
  </si>
  <si>
    <t>Douglas Ryan</t>
  </si>
  <si>
    <t>PAT-a269a666</t>
  </si>
  <si>
    <t>Michael Roberts</t>
  </si>
  <si>
    <t>PAT-f1d58f18</t>
  </si>
  <si>
    <t>Scott Duke</t>
  </si>
  <si>
    <t>PAT-8718ccfc</t>
  </si>
  <si>
    <t>Anna Estes</t>
  </si>
  <si>
    <t>PAT-7fde7abd</t>
  </si>
  <si>
    <t>Tamara Riddle</t>
  </si>
  <si>
    <t>PAT-fe962113</t>
  </si>
  <si>
    <t>Beth Cline</t>
  </si>
  <si>
    <t>PAT-3e9880ae</t>
  </si>
  <si>
    <t>Michael Poole</t>
  </si>
  <si>
    <t>PAT-7b81d6a8</t>
  </si>
  <si>
    <t>Megan Burns</t>
  </si>
  <si>
    <t>PAT-8d50679f</t>
  </si>
  <si>
    <t>Debra Perry</t>
  </si>
  <si>
    <t>PAT-eb2eaf54</t>
  </si>
  <si>
    <t>Mark Beard</t>
  </si>
  <si>
    <t>PAT-b96272b5</t>
  </si>
  <si>
    <t>Jose Ramirez</t>
  </si>
  <si>
    <t>PAT-24ea0371</t>
  </si>
  <si>
    <t>Jackie Clements</t>
  </si>
  <si>
    <t>PAT-0b1acdd9</t>
  </si>
  <si>
    <t>Aaron Schroeder</t>
  </si>
  <si>
    <t>PAT-0c687528</t>
  </si>
  <si>
    <t>Monica Ellis</t>
  </si>
  <si>
    <t>PAT-c15e9cfe</t>
  </si>
  <si>
    <t>Heather Brown</t>
  </si>
  <si>
    <t>PAT-b24cb337</t>
  </si>
  <si>
    <t>Claudia Jordan</t>
  </si>
  <si>
    <t>PAT-7089b3a1</t>
  </si>
  <si>
    <t>Derrick Clayton</t>
  </si>
  <si>
    <t>PAT-2bd39b2c</t>
  </si>
  <si>
    <t>Kenneth Knight</t>
  </si>
  <si>
    <t>PAT-f9cab28a</t>
  </si>
  <si>
    <t>Mr. Michael Williams</t>
  </si>
  <si>
    <t>PAT-0865f855</t>
  </si>
  <si>
    <t>Richard Stevens</t>
  </si>
  <si>
    <t>PAT-04866ac6</t>
  </si>
  <si>
    <t>Scott Alexander</t>
  </si>
  <si>
    <t>PAT-c7e881c9</t>
  </si>
  <si>
    <t>Tyler Harris</t>
  </si>
  <si>
    <t>PAT-f4883a1d</t>
  </si>
  <si>
    <t>Bonnie Santos</t>
  </si>
  <si>
    <t>PAT-55f61bb9</t>
  </si>
  <si>
    <t>Timothy Hill</t>
  </si>
  <si>
    <t>PAT-268d03da</t>
  </si>
  <si>
    <t>Danielle Watson</t>
  </si>
  <si>
    <t>PAT-38e43674</t>
  </si>
  <si>
    <t>Carol Sanders</t>
  </si>
  <si>
    <t>PAT-cbb0e264</t>
  </si>
  <si>
    <t>Michael Young</t>
  </si>
  <si>
    <t>PAT-25bc9f19</t>
  </si>
  <si>
    <t>Michele Smith</t>
  </si>
  <si>
    <t>PAT-6634a1f1</t>
  </si>
  <si>
    <t>Casey Perez</t>
  </si>
  <si>
    <t>PAT-615c986b</t>
  </si>
  <si>
    <t>Alexandra Dominguez</t>
  </si>
  <si>
    <t>PAT-4ddbb040</t>
  </si>
  <si>
    <t>Virginia Henderson</t>
  </si>
  <si>
    <t>PAT-3d0428f5</t>
  </si>
  <si>
    <t>Benjamin Reyes</t>
  </si>
  <si>
    <t>PAT-3a13e9c9</t>
  </si>
  <si>
    <t>Ashley Edwards</t>
  </si>
  <si>
    <t>PAT-4cda6597</t>
  </si>
  <si>
    <t>Breanna Ayala</t>
  </si>
  <si>
    <t>PAT-4700c8eb</t>
  </si>
  <si>
    <t>Brandi Haney</t>
  </si>
  <si>
    <t>PAT-2c237d3c</t>
  </si>
  <si>
    <t>Joseph Smith</t>
  </si>
  <si>
    <t>PAT-672d2045</t>
  </si>
  <si>
    <t>Jessica Bowen</t>
  </si>
  <si>
    <t>PAT-14fa7097</t>
  </si>
  <si>
    <t>Brittany Jenkins</t>
  </si>
  <si>
    <t>PAT-a3b4d804</t>
  </si>
  <si>
    <t>Shannon Miller</t>
  </si>
  <si>
    <t>PAT-48c5fe53</t>
  </si>
  <si>
    <t>Paul Lawrence</t>
  </si>
  <si>
    <t>PAT-422edaf2</t>
  </si>
  <si>
    <t>Victor Edwards</t>
  </si>
  <si>
    <t>PAT-a9312113</t>
  </si>
  <si>
    <t>Donald Miller</t>
  </si>
  <si>
    <t>PAT-b49f691c</t>
  </si>
  <si>
    <t>Lindsay Lawson</t>
  </si>
  <si>
    <t>PAT-46dc1924</t>
  </si>
  <si>
    <t>Melissa Abbott</t>
  </si>
  <si>
    <t>PAT-827400ac</t>
  </si>
  <si>
    <t>Elizabeth Holmes</t>
  </si>
  <si>
    <t>PAT-4b5dcf1f</t>
  </si>
  <si>
    <t>Nicole Phillips</t>
  </si>
  <si>
    <t>PAT-543309ab</t>
  </si>
  <si>
    <t>Steven Blevins</t>
  </si>
  <si>
    <t>PAT-92910d72</t>
  </si>
  <si>
    <t>Brian Porter MD</t>
  </si>
  <si>
    <t>PAT-1a762a65</t>
  </si>
  <si>
    <t>Vanessa Hatfield</t>
  </si>
  <si>
    <t>PAT-ba4f5c45</t>
  </si>
  <si>
    <t>Bonnie Valencia</t>
  </si>
  <si>
    <t>PAT-4222124b</t>
  </si>
  <si>
    <t>Holly Vega</t>
  </si>
  <si>
    <t>PAT-2b471903</t>
  </si>
  <si>
    <t>Tiffany Townsend</t>
  </si>
  <si>
    <t>PAT-fb8fb2f8</t>
  </si>
  <si>
    <t>Austin Baker</t>
  </si>
  <si>
    <t>PAT-d5880b4b</t>
  </si>
  <si>
    <t>Antonio Mccormick</t>
  </si>
  <si>
    <t>PAT-b89b8c18</t>
  </si>
  <si>
    <t>Lori Mason</t>
  </si>
  <si>
    <t>PAT-46840f68</t>
  </si>
  <si>
    <t>PAT-8ef3ad8a</t>
  </si>
  <si>
    <t>Lisa Ramirez</t>
  </si>
  <si>
    <t>PAT-1674c12b</t>
  </si>
  <si>
    <t>Jorge Harris</t>
  </si>
  <si>
    <t>PAT-2c67a185</t>
  </si>
  <si>
    <t>Kimberly Myers</t>
  </si>
  <si>
    <t>PAT-cdd5ed12</t>
  </si>
  <si>
    <t>Sandra Becker</t>
  </si>
  <si>
    <t>PAT-76252633</t>
  </si>
  <si>
    <t>Michael Blair</t>
  </si>
  <si>
    <t>PAT-20043fb2</t>
  </si>
  <si>
    <t>Amy Miller</t>
  </si>
  <si>
    <t>PAT-c56092ce</t>
  </si>
  <si>
    <t>Jesse Lynch</t>
  </si>
  <si>
    <t>PAT-7d652ee5</t>
  </si>
  <si>
    <t>Patrick Yang</t>
  </si>
  <si>
    <t>PAT-1bc9130a</t>
  </si>
  <si>
    <t>Michael Miles</t>
  </si>
  <si>
    <t>PAT-3a0dbe38</t>
  </si>
  <si>
    <t>Troy Mills</t>
  </si>
  <si>
    <t>PAT-c165ed5f</t>
  </si>
  <si>
    <t>Michelle Jackson</t>
  </si>
  <si>
    <t>PAT-59afbd95</t>
  </si>
  <si>
    <t>Richard Adams</t>
  </si>
  <si>
    <t>PAT-f83eb12d</t>
  </si>
  <si>
    <t>Patricia Johnson</t>
  </si>
  <si>
    <t>PAT-cafc7802</t>
  </si>
  <si>
    <t>Denise Brown</t>
  </si>
  <si>
    <t>PAT-f1062bcb</t>
  </si>
  <si>
    <t>Laura Jones</t>
  </si>
  <si>
    <t>PAT-95a1ef39</t>
  </si>
  <si>
    <t>Ian Porter</t>
  </si>
  <si>
    <t>PAT-34dc7d4b</t>
  </si>
  <si>
    <t>Holly Scott</t>
  </si>
  <si>
    <t>PAT-434171f6</t>
  </si>
  <si>
    <t>Kenneth Sharp</t>
  </si>
  <si>
    <t>PAT-03ae75aa</t>
  </si>
  <si>
    <t>Jordan Williams</t>
  </si>
  <si>
    <t>PAT-b9e1e39a</t>
  </si>
  <si>
    <t>Dana Ruiz</t>
  </si>
  <si>
    <t>PAT-030f2b7d</t>
  </si>
  <si>
    <t>Chris Velazquez</t>
  </si>
  <si>
    <t>PAT-32c5b5bf</t>
  </si>
  <si>
    <t>Kristen Sloan</t>
  </si>
  <si>
    <t>PAT-59318a32</t>
  </si>
  <si>
    <t>Jennifer Morris</t>
  </si>
  <si>
    <t>PAT-750a0a30</t>
  </si>
  <si>
    <t>Nathan Nelson</t>
  </si>
  <si>
    <t>PAT-04a8031e</t>
  </si>
  <si>
    <t>Jake Shaw</t>
  </si>
  <si>
    <t>PAT-137f292a</t>
  </si>
  <si>
    <t>Cassie Brock</t>
  </si>
  <si>
    <t>PAT-b755d221</t>
  </si>
  <si>
    <t>Dr. Andrea Marshall</t>
  </si>
  <si>
    <t>PAT-90e7a0e1</t>
  </si>
  <si>
    <t>Ryan Murphy</t>
  </si>
  <si>
    <t>PAT-a91cb1a0</t>
  </si>
  <si>
    <t>Aimee Gonzalez</t>
  </si>
  <si>
    <t>PAT-4d9696ff</t>
  </si>
  <si>
    <t>Elizabeth Dean</t>
  </si>
  <si>
    <t>PAT-3d3a491d</t>
  </si>
  <si>
    <t>Kevin Snyder</t>
  </si>
  <si>
    <t>PAT-6d2b84ce</t>
  </si>
  <si>
    <t>Christie Mccullough</t>
  </si>
  <si>
    <t>PAT-3513ebf2</t>
  </si>
  <si>
    <t>Danielle Smith</t>
  </si>
  <si>
    <t>PAT-e4de7258</t>
  </si>
  <si>
    <t>David Reed</t>
  </si>
  <si>
    <t>PAT-89a200af</t>
  </si>
  <si>
    <t>Sherry Tapia</t>
  </si>
  <si>
    <t>PAT-f596bf8d</t>
  </si>
  <si>
    <t>Matthew Sweeney</t>
  </si>
  <si>
    <t>PAT-2c5361ff</t>
  </si>
  <si>
    <t>Ashley Moreno</t>
  </si>
  <si>
    <t>PAT-beb4bcee</t>
  </si>
  <si>
    <t>Johnathan Brown</t>
  </si>
  <si>
    <t>PAT-03d0b953</t>
  </si>
  <si>
    <t>Michelle Davis DVM</t>
  </si>
  <si>
    <t>PAT-f9dae984</t>
  </si>
  <si>
    <t>Kelly Haynes</t>
  </si>
  <si>
    <t>PAT-1d6da110</t>
  </si>
  <si>
    <t>William Miller</t>
  </si>
  <si>
    <t>PAT-a7ccb35e</t>
  </si>
  <si>
    <t>Casey Wilkins</t>
  </si>
  <si>
    <t>PAT-8e9b196c</t>
  </si>
  <si>
    <t>Keith Graham</t>
  </si>
  <si>
    <t>PAT-4927475c</t>
  </si>
  <si>
    <t>Cynthia Green</t>
  </si>
  <si>
    <t>PAT-baa8e6ea</t>
  </si>
  <si>
    <t>Robert Haynes</t>
  </si>
  <si>
    <t>PAT-3fe8fd51</t>
  </si>
  <si>
    <t>Emily Nelson</t>
  </si>
  <si>
    <t>PAT-8a14f16e</t>
  </si>
  <si>
    <t>Dale Chan</t>
  </si>
  <si>
    <t>PAT-b0c6f49d</t>
  </si>
  <si>
    <t>Brittney Martin</t>
  </si>
  <si>
    <t>PAT-6e815497</t>
  </si>
  <si>
    <t>Jason Herrera</t>
  </si>
  <si>
    <t>PAT-179de2b6</t>
  </si>
  <si>
    <t>Christine Parker</t>
  </si>
  <si>
    <t>PAT-b1e8834f</t>
  </si>
  <si>
    <t>Bryan Moore</t>
  </si>
  <si>
    <t>PAT-499c2003</t>
  </si>
  <si>
    <t>Samantha Terry</t>
  </si>
  <si>
    <t>PAT-a68f7f46</t>
  </si>
  <si>
    <t>Russell Murphy</t>
  </si>
  <si>
    <t>PAT-b1caf36c</t>
  </si>
  <si>
    <t>David Kelly</t>
  </si>
  <si>
    <t>PAT-f58ab9a1</t>
  </si>
  <si>
    <t>Megan Green</t>
  </si>
  <si>
    <t>PAT-12523d2c</t>
  </si>
  <si>
    <t>Amanda Sullivan MD</t>
  </si>
  <si>
    <t>PAT-bdd5c115</t>
  </si>
  <si>
    <t>Danielle Murray</t>
  </si>
  <si>
    <t>PAT-64005d1e</t>
  </si>
  <si>
    <t>Brenda Smith</t>
  </si>
  <si>
    <t>PAT-b34bb9aa</t>
  </si>
  <si>
    <t>Vickie Anderson</t>
  </si>
  <si>
    <t>PAT-095c8db2</t>
  </si>
  <si>
    <t>Jacqueline Mccoy</t>
  </si>
  <si>
    <t>PAT-9f159403</t>
  </si>
  <si>
    <t>Lauren Green</t>
  </si>
  <si>
    <t>PAT-ddd92df7</t>
  </si>
  <si>
    <t>Alison Brown</t>
  </si>
  <si>
    <t>PAT-4dd464eb</t>
  </si>
  <si>
    <t>Jill Anderson</t>
  </si>
  <si>
    <t>PAT-6cba7ba2</t>
  </si>
  <si>
    <t>Sandra Rivera</t>
  </si>
  <si>
    <t>PAT-a493ca8b</t>
  </si>
  <si>
    <t>Joel Jackson</t>
  </si>
  <si>
    <t>PAT-faa4a26f</t>
  </si>
  <si>
    <t>Samantha Foster</t>
  </si>
  <si>
    <t>PAT-c041a156</t>
  </si>
  <si>
    <t>Michael Thompson</t>
  </si>
  <si>
    <t>PAT-579c19cc</t>
  </si>
  <si>
    <t>Cody Ramirez</t>
  </si>
  <si>
    <t>PAT-8bfedd28</t>
  </si>
  <si>
    <t>Amanda Harvey</t>
  </si>
  <si>
    <t>PAT-9f99f901</t>
  </si>
  <si>
    <t>Edward Jenkins</t>
  </si>
  <si>
    <t>PAT-51264ef0</t>
  </si>
  <si>
    <t>Amy Ramirez</t>
  </si>
  <si>
    <t>PAT-b8f2602e</t>
  </si>
  <si>
    <t>Curtis Wilkerson</t>
  </si>
  <si>
    <t>PAT-3def4cff</t>
  </si>
  <si>
    <t>Lydia Pham</t>
  </si>
  <si>
    <t>PAT-f9424721</t>
  </si>
  <si>
    <t>Virginia Casey</t>
  </si>
  <si>
    <t>PAT-48c843e9</t>
  </si>
  <si>
    <t>Joshua Washington</t>
  </si>
  <si>
    <t>PAT-9508b7eb</t>
  </si>
  <si>
    <t>Kathryn Price</t>
  </si>
  <si>
    <t>PAT-e367eedb</t>
  </si>
  <si>
    <t>Francis Robinson</t>
  </si>
  <si>
    <t>PAT-ac1d3980</t>
  </si>
  <si>
    <t>Paula Brown</t>
  </si>
  <si>
    <t>PAT-15da980a</t>
  </si>
  <si>
    <t>Kendra Wang DVM</t>
  </si>
  <si>
    <t>PAT-d9ea1df9</t>
  </si>
  <si>
    <t>Ariel Sandoval</t>
  </si>
  <si>
    <t>PAT-cd77d9dc</t>
  </si>
  <si>
    <t>Robert Stark</t>
  </si>
  <si>
    <t>PAT-40efa3f6</t>
  </si>
  <si>
    <t>Zachary Robinson</t>
  </si>
  <si>
    <t>PAT-f9093e10</t>
  </si>
  <si>
    <t>Rebecca Kelly</t>
  </si>
  <si>
    <t>PAT-434dd46d</t>
  </si>
  <si>
    <t>Sarah Thompson</t>
  </si>
  <si>
    <t>PAT-2cccd894</t>
  </si>
  <si>
    <t>Renee Wolfe</t>
  </si>
  <si>
    <t>PAT-c1717ebc</t>
  </si>
  <si>
    <t>Alyssa Haynes</t>
  </si>
  <si>
    <t>PAT-c665c4c5</t>
  </si>
  <si>
    <t>Kristy Hart</t>
  </si>
  <si>
    <t>PAT-e11a0e0e</t>
  </si>
  <si>
    <t>William Keith</t>
  </si>
  <si>
    <t>PAT-b345f0fc</t>
  </si>
  <si>
    <t>Eric Henry Jr.</t>
  </si>
  <si>
    <t>PAT-b85a5fe7</t>
  </si>
  <si>
    <t>Daniel Fox</t>
  </si>
  <si>
    <t>PAT-f8e37525</t>
  </si>
  <si>
    <t>Thomas Harris</t>
  </si>
  <si>
    <t>PAT-8f5668e1</t>
  </si>
  <si>
    <t>Mitchell Sellers</t>
  </si>
  <si>
    <t>PAT-e317c564</t>
  </si>
  <si>
    <t>Erica Johnson</t>
  </si>
  <si>
    <t>PAT-f2e5dc0f</t>
  </si>
  <si>
    <t>Sylvia Schroeder</t>
  </si>
  <si>
    <t>PAT-7dccad86</t>
  </si>
  <si>
    <t>Shannon Yu</t>
  </si>
  <si>
    <t>PAT-6621edc9</t>
  </si>
  <si>
    <t>Tom Foster</t>
  </si>
  <si>
    <t>PAT-a37a6ec6</t>
  </si>
  <si>
    <t>Eric Taylor</t>
  </si>
  <si>
    <t>PAT-2b540edc</t>
  </si>
  <si>
    <t>Travis Conner</t>
  </si>
  <si>
    <t>PAT-457ff3a7</t>
  </si>
  <si>
    <t>Marie Thompson</t>
  </si>
  <si>
    <t>PAT-03a1bd78</t>
  </si>
  <si>
    <t>Melissa Mcfarland</t>
  </si>
  <si>
    <t>PAT-4fbfd721</t>
  </si>
  <si>
    <t>Courtney Chapman</t>
  </si>
  <si>
    <t>PAT-d3f2dd9c</t>
  </si>
  <si>
    <t>Eric Barker</t>
  </si>
  <si>
    <t>PAT-9aa16259</t>
  </si>
  <si>
    <t>Nicholas Rush</t>
  </si>
  <si>
    <t>PAT-19b54c42</t>
  </si>
  <si>
    <t>Jenna Gamble</t>
  </si>
  <si>
    <t>PAT-1e6f872e</t>
  </si>
  <si>
    <t>Amanda Guzman</t>
  </si>
  <si>
    <t>PAT-7cf0d13d</t>
  </si>
  <si>
    <t>Tracy Walker</t>
  </si>
  <si>
    <t>PAT-8a179cc0</t>
  </si>
  <si>
    <t>Taylor Taylor</t>
  </si>
  <si>
    <t>PAT-89abf617</t>
  </si>
  <si>
    <t>Cynthia Haas</t>
  </si>
  <si>
    <t>PAT-5504ba86</t>
  </si>
  <si>
    <t>Stephen Davis</t>
  </si>
  <si>
    <t>PAT-ceeb126b</t>
  </si>
  <si>
    <t>Margaret Tanner</t>
  </si>
  <si>
    <t>PAT-80dd2e5c</t>
  </si>
  <si>
    <t>Derek Wright</t>
  </si>
  <si>
    <t>PAT-36cb1cbd</t>
  </si>
  <si>
    <t>David Rodriguez</t>
  </si>
  <si>
    <t>PAT-87f6ac23</t>
  </si>
  <si>
    <t>James Oconnor</t>
  </si>
  <si>
    <t>PAT-ed357431</t>
  </si>
  <si>
    <t>Stacey Snyder</t>
  </si>
  <si>
    <t>PAT-60ed37b1</t>
  </si>
  <si>
    <t>Joshua Garcia</t>
  </si>
  <si>
    <t>PAT-94aeadf6</t>
  </si>
  <si>
    <t>Sean Curtis</t>
  </si>
  <si>
    <t>PAT-12de1869</t>
  </si>
  <si>
    <t>Carla Jones</t>
  </si>
  <si>
    <t>PAT-94cb5d4d</t>
  </si>
  <si>
    <t>Elizabeth Flores</t>
  </si>
  <si>
    <t>PAT-70bb0e7e</t>
  </si>
  <si>
    <t>Angela Jackson</t>
  </si>
  <si>
    <t>PAT-e82f0475</t>
  </si>
  <si>
    <t>Nicholas Payne</t>
  </si>
  <si>
    <t>PAT-ebe3b87a</t>
  </si>
  <si>
    <t>Anna Wheeler</t>
  </si>
  <si>
    <t>PAT-e67c1ba9</t>
  </si>
  <si>
    <t>Karen Johnson</t>
  </si>
  <si>
    <t>PAT-41173daa</t>
  </si>
  <si>
    <t>Carmen Preston</t>
  </si>
  <si>
    <t>PAT-e52c726d</t>
  </si>
  <si>
    <t>Brian Harris</t>
  </si>
  <si>
    <t>PAT-e8583ff8</t>
  </si>
  <si>
    <t>Michael Bowen</t>
  </si>
  <si>
    <t>PAT-815c95f7</t>
  </si>
  <si>
    <t>Deborah Campbell</t>
  </si>
  <si>
    <t>PAT-5cc7a8f3</t>
  </si>
  <si>
    <t>Anthony Armstrong</t>
  </si>
  <si>
    <t>PAT-7fcb697b</t>
  </si>
  <si>
    <t>Brittany Ward</t>
  </si>
  <si>
    <t>PAT-e336cf92</t>
  </si>
  <si>
    <t>Edward Stanley</t>
  </si>
  <si>
    <t>PAT-de47a134</t>
  </si>
  <si>
    <t>Christina Johnson</t>
  </si>
  <si>
    <t>PAT-9d7954a0</t>
  </si>
  <si>
    <t>Edgar Miller</t>
  </si>
  <si>
    <t>PAT-14f1c2aa</t>
  </si>
  <si>
    <t>Elizabeth Sanders</t>
  </si>
  <si>
    <t>PAT-11ee6f72</t>
  </si>
  <si>
    <t>Matthew Davis MD</t>
  </si>
  <si>
    <t>PAT-891c504e</t>
  </si>
  <si>
    <t>Stephen Wood</t>
  </si>
  <si>
    <t>PAT-14da658e</t>
  </si>
  <si>
    <t>Dennis Marshall</t>
  </si>
  <si>
    <t>PAT-c0bf222d</t>
  </si>
  <si>
    <t>Derrick Brown</t>
  </si>
  <si>
    <t>PAT-3216da7d</t>
  </si>
  <si>
    <t>PAT-c83919b3</t>
  </si>
  <si>
    <t>Joshua Arellano</t>
  </si>
  <si>
    <t>PAT-6be0cd8e</t>
  </si>
  <si>
    <t>Kristen Randall</t>
  </si>
  <si>
    <t>PAT-b193bc13</t>
  </si>
  <si>
    <t>Jennifer Nichols</t>
  </si>
  <si>
    <t>PAT-fad5831d</t>
  </si>
  <si>
    <t>Karen Keith</t>
  </si>
  <si>
    <t>PAT-fc5ca97c</t>
  </si>
  <si>
    <t>Blake Orr</t>
  </si>
  <si>
    <t>PAT-346a17fa</t>
  </si>
  <si>
    <t>Kathryn Lester</t>
  </si>
  <si>
    <t>PAT-65dc9ad2</t>
  </si>
  <si>
    <t>Megan Oliver</t>
  </si>
  <si>
    <t>PAT-2ab794c1</t>
  </si>
  <si>
    <t>Peter Thompson</t>
  </si>
  <si>
    <t>PAT-5000e528</t>
  </si>
  <si>
    <t>Dr. Rhonda Martinez</t>
  </si>
  <si>
    <t>PAT-4c0e490a</t>
  </si>
  <si>
    <t>William Graham</t>
  </si>
  <si>
    <t>PAT-7d64a95f</t>
  </si>
  <si>
    <t>Lori Flowers MD</t>
  </si>
  <si>
    <t>PAT-ebb3c35a</t>
  </si>
  <si>
    <t>Suzanne Jones</t>
  </si>
  <si>
    <t>PAT-558821bb</t>
  </si>
  <si>
    <t>James Nguyen</t>
  </si>
  <si>
    <t>PAT-63891592</t>
  </si>
  <si>
    <t>Jimmy Marks</t>
  </si>
  <si>
    <t>PAT-d088a1ed</t>
  </si>
  <si>
    <t>Lisa Mills</t>
  </si>
  <si>
    <t>PAT-fdb73cb6</t>
  </si>
  <si>
    <t>Jason Hernandez</t>
  </si>
  <si>
    <t>PAT-e274866d</t>
  </si>
  <si>
    <t>Olivia Ayers</t>
  </si>
  <si>
    <t>PAT-635d2caf</t>
  </si>
  <si>
    <t>Kristine Garcia</t>
  </si>
  <si>
    <t>PAT-1fd2e6ec</t>
  </si>
  <si>
    <t>Joseph Cooper</t>
  </si>
  <si>
    <t>PAT-aca98c7e</t>
  </si>
  <si>
    <t>James Washington</t>
  </si>
  <si>
    <t>PAT-a8b5abcb</t>
  </si>
  <si>
    <t>Amanda Hill</t>
  </si>
  <si>
    <t>PAT-461dedf5</t>
  </si>
  <si>
    <t>Lee Steele</t>
  </si>
  <si>
    <t>PAT-31f00a7c</t>
  </si>
  <si>
    <t>Steve Rivera</t>
  </si>
  <si>
    <t>PAT-abcfeffc</t>
  </si>
  <si>
    <t>Patrick Mccall</t>
  </si>
  <si>
    <t>PAT-0a87540a</t>
  </si>
  <si>
    <t>Alicia Roth</t>
  </si>
  <si>
    <t>PAT-27b993e3</t>
  </si>
  <si>
    <t>Douglas Vasquez</t>
  </si>
  <si>
    <t>PAT-8ad27bf1</t>
  </si>
  <si>
    <t>Annette Melton</t>
  </si>
  <si>
    <t>PAT-17a63d35</t>
  </si>
  <si>
    <t>William Ramos</t>
  </si>
  <si>
    <t>PAT-8607b61c</t>
  </si>
  <si>
    <t>Debra Butler</t>
  </si>
  <si>
    <t>PAT-5934e691</t>
  </si>
  <si>
    <t>Chelsea Lewis</t>
  </si>
  <si>
    <t>PAT-5d56d3a0</t>
  </si>
  <si>
    <t>Natalie Malone</t>
  </si>
  <si>
    <t>PAT-bf9bf276</t>
  </si>
  <si>
    <t>PAT-dd72a01f</t>
  </si>
  <si>
    <t>Eric Hunter</t>
  </si>
  <si>
    <t>PAT-3ffec18c</t>
  </si>
  <si>
    <t>Samuel Suarez</t>
  </si>
  <si>
    <t>PAT-02ae68da</t>
  </si>
  <si>
    <t>Corey Whitaker</t>
  </si>
  <si>
    <t>PAT-83f67cae</t>
  </si>
  <si>
    <t>Danielle Bryant</t>
  </si>
  <si>
    <t>PAT-9026b07c</t>
  </si>
  <si>
    <t>Michele Hill</t>
  </si>
  <si>
    <t>PAT-388ea10a</t>
  </si>
  <si>
    <t>Kathy Reid</t>
  </si>
  <si>
    <t>PAT-7912b691</t>
  </si>
  <si>
    <t>Andre Watson</t>
  </si>
  <si>
    <t>PAT-5794ee22</t>
  </si>
  <si>
    <t>Cassandra Harrell</t>
  </si>
  <si>
    <t>PAT-5fa9792c</t>
  </si>
  <si>
    <t>Hannah Martin</t>
  </si>
  <si>
    <t>PAT-94a68ef3</t>
  </si>
  <si>
    <t>Nicole Barker</t>
  </si>
  <si>
    <t>PAT-ccc84f5b</t>
  </si>
  <si>
    <t>James Martin</t>
  </si>
  <si>
    <t>PAT-87356f08</t>
  </si>
  <si>
    <t>Traci Vincent</t>
  </si>
  <si>
    <t>PAT-e4376ecc</t>
  </si>
  <si>
    <t>Megan Adams</t>
  </si>
  <si>
    <t>PAT-bf1b13b6</t>
  </si>
  <si>
    <t>Alejandro Deleon</t>
  </si>
  <si>
    <t>PAT-d78122d6</t>
  </si>
  <si>
    <t>Alexa Buck</t>
  </si>
  <si>
    <t>PAT-8a396e1e</t>
  </si>
  <si>
    <t>Lindsay Smith</t>
  </si>
  <si>
    <t>PAT-a80a5e86</t>
  </si>
  <si>
    <t>Robert Torres</t>
  </si>
  <si>
    <t>PAT-6383ea9f</t>
  </si>
  <si>
    <t>Maria Coleman</t>
  </si>
  <si>
    <t>PAT-b6d29dbc</t>
  </si>
  <si>
    <t>Gregory King</t>
  </si>
  <si>
    <t>PAT-8427bce7</t>
  </si>
  <si>
    <t>Michael Holloway</t>
  </si>
  <si>
    <t>PAT-a34a64e2</t>
  </si>
  <si>
    <t>Brian Hunt</t>
  </si>
  <si>
    <t>PAT-46c66a3e</t>
  </si>
  <si>
    <t>Sarah Brooks</t>
  </si>
  <si>
    <t>PAT-104fadfd</t>
  </si>
  <si>
    <t>Lisa Evans</t>
  </si>
  <si>
    <t>PAT-780be065</t>
  </si>
  <si>
    <t>Arthur Mcneil</t>
  </si>
  <si>
    <t>PAT-c2d93cd1</t>
  </si>
  <si>
    <t>Shannon Green</t>
  </si>
  <si>
    <t>PAT-798f4567</t>
  </si>
  <si>
    <t>Stephanie Evans</t>
  </si>
  <si>
    <t>PAT-f4ce80d4</t>
  </si>
  <si>
    <t>Ralph Yoder</t>
  </si>
  <si>
    <t>PAT-3fb1487b</t>
  </si>
  <si>
    <t>Rebekah Greene</t>
  </si>
  <si>
    <t>PAT-1cf19479</t>
  </si>
  <si>
    <t>Melanie Griffith</t>
  </si>
  <si>
    <t>PAT-3d429a6c</t>
  </si>
  <si>
    <t>Yolanda Green</t>
  </si>
  <si>
    <t>PAT-f73799b5</t>
  </si>
  <si>
    <t>James Johnson</t>
  </si>
  <si>
    <t>PAT-fffe27aa</t>
  </si>
  <si>
    <t>Laura Lee</t>
  </si>
  <si>
    <t>PAT-177e05c7</t>
  </si>
  <si>
    <t>Courtney Nichols</t>
  </si>
  <si>
    <t>PAT-dd618adb</t>
  </si>
  <si>
    <t>Susan Powers</t>
  </si>
  <si>
    <t>PAT-b8f64c3e</t>
  </si>
  <si>
    <t>Sarah Pittman</t>
  </si>
  <si>
    <t>PAT-3ef63f63</t>
  </si>
  <si>
    <t>Catherine Davis</t>
  </si>
  <si>
    <t>PAT-b833050b</t>
  </si>
  <si>
    <t>David Stokes</t>
  </si>
  <si>
    <t>PAT-a1bec809</t>
  </si>
  <si>
    <t>Catherine Frazier</t>
  </si>
  <si>
    <t>PAT-90ba3a0f</t>
  </si>
  <si>
    <t>Brandon Kelly</t>
  </si>
  <si>
    <t>PAT-b0173543</t>
  </si>
  <si>
    <t>Elizabeth French</t>
  </si>
  <si>
    <t>PAT-7fcb5d8b</t>
  </si>
  <si>
    <t>David Carter</t>
  </si>
  <si>
    <t>PAT-f752da62</t>
  </si>
  <si>
    <t>Julie Delacruz</t>
  </si>
  <si>
    <t>PAT-5651b17c</t>
  </si>
  <si>
    <t>Terry Jones</t>
  </si>
  <si>
    <t>PAT-b2fe6226</t>
  </si>
  <si>
    <t>Kathryn Dillon</t>
  </si>
  <si>
    <t>PAT-c378810a</t>
  </si>
  <si>
    <t>Edwin Brown</t>
  </si>
  <si>
    <t>PAT-456fd090</t>
  </si>
  <si>
    <t>Brenda Gonzalez</t>
  </si>
  <si>
    <t>PAT-596d9b6a</t>
  </si>
  <si>
    <t>Keith Knox</t>
  </si>
  <si>
    <t>PAT-a432ced1</t>
  </si>
  <si>
    <t>Eugene Baldwin</t>
  </si>
  <si>
    <t>PAT-9603be1e</t>
  </si>
  <si>
    <t>Katherine Welch</t>
  </si>
  <si>
    <t>PAT-c0ec69bd</t>
  </si>
  <si>
    <t>Mark Smith</t>
  </si>
  <si>
    <t>PAT-4abfea64</t>
  </si>
  <si>
    <t>Philip Jackson</t>
  </si>
  <si>
    <t>PAT-974c0a52</t>
  </si>
  <si>
    <t>Katherine Gallagher</t>
  </si>
  <si>
    <t>PAT-4e444d5a</t>
  </si>
  <si>
    <t>Lucas Schultz</t>
  </si>
  <si>
    <t>PAT-b3ba89f4</t>
  </si>
  <si>
    <t>Vincent Reyes</t>
  </si>
  <si>
    <t>PAT-1d5f8550</t>
  </si>
  <si>
    <t>Curtis Watson</t>
  </si>
  <si>
    <t>PAT-b9712ea6</t>
  </si>
  <si>
    <t>Frank Whitaker</t>
  </si>
  <si>
    <t>PAT-0af52f3d</t>
  </si>
  <si>
    <t>Michael Sims</t>
  </si>
  <si>
    <t>PAT-833f3338</t>
  </si>
  <si>
    <t>PAT-b87126f2</t>
  </si>
  <si>
    <t>James Chapman</t>
  </si>
  <si>
    <t>PAT-a4976bc6</t>
  </si>
  <si>
    <t>Rodney Evans</t>
  </si>
  <si>
    <t>PAT-869968c7</t>
  </si>
  <si>
    <t>Nicholas Carlson</t>
  </si>
  <si>
    <t>PAT-5a0ce14d</t>
  </si>
  <si>
    <t>Stephen Cowan</t>
  </si>
  <si>
    <t>PAT-0307a640</t>
  </si>
  <si>
    <t>Steven Howard</t>
  </si>
  <si>
    <t>PAT-110d5794</t>
  </si>
  <si>
    <t>Travis Hull</t>
  </si>
  <si>
    <t>PAT-c7aac776</t>
  </si>
  <si>
    <t>Darryl Acosta</t>
  </si>
  <si>
    <t>PAT-8700b93a</t>
  </si>
  <si>
    <t>Nicholas Lawrence</t>
  </si>
  <si>
    <t>PAT-e5d6a9cf</t>
  </si>
  <si>
    <t>Jacob Santos</t>
  </si>
  <si>
    <t>PAT-2fa08c0d</t>
  </si>
  <si>
    <t>Shawn Scott</t>
  </si>
  <si>
    <t>PAT-a01bf534</t>
  </si>
  <si>
    <t>Amber Vang</t>
  </si>
  <si>
    <t>PAT-87fa07bd</t>
  </si>
  <si>
    <t>Martha Smith</t>
  </si>
  <si>
    <t>PAT-8f07e894</t>
  </si>
  <si>
    <t>Jennifer James</t>
  </si>
  <si>
    <t>PAT-4ae301e1</t>
  </si>
  <si>
    <t>Kara Hernandez</t>
  </si>
  <si>
    <t>PAT-e2ef9c5f</t>
  </si>
  <si>
    <t>Lorraine Turner</t>
  </si>
  <si>
    <t>week</t>
  </si>
  <si>
    <t>month</t>
  </si>
  <si>
    <t>available_beds</t>
  </si>
  <si>
    <t>patients_request</t>
  </si>
  <si>
    <t>patients_admitted</t>
  </si>
  <si>
    <t>patients_refused</t>
  </si>
  <si>
    <t>patient_satisfaction</t>
  </si>
  <si>
    <t>staff_morale</t>
  </si>
  <si>
    <t>event</t>
  </si>
  <si>
    <t>none</t>
  </si>
  <si>
    <t>flu</t>
  </si>
  <si>
    <t>donation</t>
  </si>
  <si>
    <t>strike</t>
  </si>
  <si>
    <t>staff_id</t>
  </si>
  <si>
    <t>staff_name</t>
  </si>
  <si>
    <t>role</t>
  </si>
  <si>
    <t>STF-5ca26577</t>
  </si>
  <si>
    <t>Allison Hill</t>
  </si>
  <si>
    <t>doctor</t>
  </si>
  <si>
    <t>STF-02ae59ca</t>
  </si>
  <si>
    <t>Noah Rhodes</t>
  </si>
  <si>
    <t>STF-d8006e7c</t>
  </si>
  <si>
    <t>Angie Henderson</t>
  </si>
  <si>
    <t>STF-212d8b31</t>
  </si>
  <si>
    <t>Daniel Wagner</t>
  </si>
  <si>
    <t>STF-107a58e4</t>
  </si>
  <si>
    <t>Cristian Santos</t>
  </si>
  <si>
    <t>STF-ca932dea</t>
  </si>
  <si>
    <t>Connie Lawrence</t>
  </si>
  <si>
    <t>nurse</t>
  </si>
  <si>
    <t>STF-39082289</t>
  </si>
  <si>
    <t>Abigail Shaffer</t>
  </si>
  <si>
    <t>STF-702887af</t>
  </si>
  <si>
    <t>Gina Moore</t>
  </si>
  <si>
    <t>STF-249f63bb</t>
  </si>
  <si>
    <t>Gabrielle Davis</t>
  </si>
  <si>
    <t>STF-094f410b</t>
  </si>
  <si>
    <t>Ryan Munoz</t>
  </si>
  <si>
    <t>STF-d7ab0c23</t>
  </si>
  <si>
    <t>Monica Herrera</t>
  </si>
  <si>
    <t>STF-e51bdcb4</t>
  </si>
  <si>
    <t>Jamie Arnold</t>
  </si>
  <si>
    <t>STF-8cabb71f</t>
  </si>
  <si>
    <t>Lisa Hensley</t>
  </si>
  <si>
    <t>STF-34c0563d</t>
  </si>
  <si>
    <t>Michele Williams</t>
  </si>
  <si>
    <t>STF-130577e6</t>
  </si>
  <si>
    <t>Dylan Miller</t>
  </si>
  <si>
    <t>STF-768c9d6f</t>
  </si>
  <si>
    <t>Brian Ramirez</t>
  </si>
  <si>
    <t>STF-abec8336</t>
  </si>
  <si>
    <t>Holly Wood</t>
  </si>
  <si>
    <t>STF-6f6535f8</t>
  </si>
  <si>
    <t>Derek Zuniga</t>
  </si>
  <si>
    <t>STF-b4fb711c</t>
  </si>
  <si>
    <t>Lisa Jackson</t>
  </si>
  <si>
    <t>STF-434f45a6</t>
  </si>
  <si>
    <t>Carla Gray</t>
  </si>
  <si>
    <t>STF-db5926dd</t>
  </si>
  <si>
    <t>Margaret Hawkins DDS</t>
  </si>
  <si>
    <t>STF-99227609</t>
  </si>
  <si>
    <t>Patty Perez</t>
  </si>
  <si>
    <t>STF-fd4df1f4</t>
  </si>
  <si>
    <t>Ethan Adams</t>
  </si>
  <si>
    <t>STF-317a74b9</t>
  </si>
  <si>
    <t>Tommy Walter</t>
  </si>
  <si>
    <t>STF-1ad309f8</t>
  </si>
  <si>
    <t>Matthew Foster</t>
  </si>
  <si>
    <t>nursing_assistant</t>
  </si>
  <si>
    <t>STF-4ed3b149</t>
  </si>
  <si>
    <t>Judy Baker</t>
  </si>
  <si>
    <t>STF-a8e146c6</t>
  </si>
  <si>
    <t>Justin Baker</t>
  </si>
  <si>
    <t>STF-b9e859d8</t>
  </si>
  <si>
    <t>Stephanie Ross</t>
  </si>
  <si>
    <t>STF-bc4c419e</t>
  </si>
  <si>
    <t>Zachary Hicks</t>
  </si>
  <si>
    <t>STF-15c07995</t>
  </si>
  <si>
    <t>Anthony Rodriguez</t>
  </si>
  <si>
    <t>STF-0aaed714</t>
  </si>
  <si>
    <t>Rebecca Henderson</t>
  </si>
  <si>
    <t>STF-30d44186</t>
  </si>
  <si>
    <t>James Ferrell</t>
  </si>
  <si>
    <t>STF-46e008d1</t>
  </si>
  <si>
    <t>Tricia Valencia</t>
  </si>
  <si>
    <t>STF-f2a7bd6f</t>
  </si>
  <si>
    <t>Nathan Maldonado</t>
  </si>
  <si>
    <t>STF-d7c28217</t>
  </si>
  <si>
    <t>Debra Davidson</t>
  </si>
  <si>
    <t>STF-2bfe24c1</t>
  </si>
  <si>
    <t>Jeffrey Chavez</t>
  </si>
  <si>
    <t>STF-3abc4202</t>
  </si>
  <si>
    <t>Sherri Baker</t>
  </si>
  <si>
    <t>STF-bc33b33b</t>
  </si>
  <si>
    <t>Cassandra Gaines</t>
  </si>
  <si>
    <t>STF-2c155ebf</t>
  </si>
  <si>
    <t>Elizabeth Fowler</t>
  </si>
  <si>
    <t>STF-3007d318</t>
  </si>
  <si>
    <t>Brittany Farmer</t>
  </si>
  <si>
    <t>STF-13f243f8</t>
  </si>
  <si>
    <t>Paula Moreno</t>
  </si>
  <si>
    <t>STF-7a5180f0</t>
  </si>
  <si>
    <t>Fred Smith</t>
  </si>
  <si>
    <t>STF-15269c02</t>
  </si>
  <si>
    <t>Sherry Decker</t>
  </si>
  <si>
    <t>STF-36b3e876</t>
  </si>
  <si>
    <t>Anthony Humphrey</t>
  </si>
  <si>
    <t>STF-177e5df8</t>
  </si>
  <si>
    <t>Angelica Tucker</t>
  </si>
  <si>
    <t>STF-3d6f6916</t>
  </si>
  <si>
    <t>Philip Cannon</t>
  </si>
  <si>
    <t>STF-00fbd582</t>
  </si>
  <si>
    <t>John Pierce</t>
  </si>
  <si>
    <t>STF-42844552</t>
  </si>
  <si>
    <t>Shane Henderson</t>
  </si>
  <si>
    <t>STF-1ded4330</t>
  </si>
  <si>
    <t>Joshua Blair</t>
  </si>
  <si>
    <t>STF-5d51a8ea</t>
  </si>
  <si>
    <t>Eric Carney</t>
  </si>
  <si>
    <t>STF-b19d1900</t>
  </si>
  <si>
    <t>Jessica Holmes</t>
  </si>
  <si>
    <t>STF-b4b308d8</t>
  </si>
  <si>
    <t>Danny Morgan</t>
  </si>
  <si>
    <t>STF-df08bf0e</t>
  </si>
  <si>
    <t>Crystal Robinson</t>
  </si>
  <si>
    <t>STF-51ad7d05</t>
  </si>
  <si>
    <t>Mark Perez</t>
  </si>
  <si>
    <t>STF-2e7bf9ac</t>
  </si>
  <si>
    <t>Shannon Jones</t>
  </si>
  <si>
    <t>STF-866434e1</t>
  </si>
  <si>
    <t>Michael Lewis</t>
  </si>
  <si>
    <t>STF-b8c738af</t>
  </si>
  <si>
    <t>Timothy Duncan</t>
  </si>
  <si>
    <t>STF-d6a78473</t>
  </si>
  <si>
    <t>Richard Aguirre</t>
  </si>
  <si>
    <t>STF-bcb3f4fe</t>
  </si>
  <si>
    <t>Brent Jordan</t>
  </si>
  <si>
    <t>STF-f7ad988b</t>
  </si>
  <si>
    <t>John Daniel</t>
  </si>
  <si>
    <t>STF-624c0289</t>
  </si>
  <si>
    <t>Victoria Garcia</t>
  </si>
  <si>
    <t>STF-2aeab02a</t>
  </si>
  <si>
    <t>Gerald Hensley</t>
  </si>
  <si>
    <t>STF-80c670c1</t>
  </si>
  <si>
    <t>Connor West</t>
  </si>
  <si>
    <t>STF-a81bb023</t>
  </si>
  <si>
    <t>Donald Wright</t>
  </si>
  <si>
    <t>STF-d569a861</t>
  </si>
  <si>
    <t>Jessica Callahan</t>
  </si>
  <si>
    <t>STF-48fc5275</t>
  </si>
  <si>
    <t>Amber Kidd</t>
  </si>
  <si>
    <t>STF-3ea6bb2e</t>
  </si>
  <si>
    <t>Tracy House</t>
  </si>
  <si>
    <t>STF-9dd2c561</t>
  </si>
  <si>
    <t>Carol Tucker</t>
  </si>
  <si>
    <t>STF-3014d5f2</t>
  </si>
  <si>
    <t>James Brown</t>
  </si>
  <si>
    <t>STF-98cc6508</t>
  </si>
  <si>
    <t>William Baker</t>
  </si>
  <si>
    <t>STF-67f5247b</t>
  </si>
  <si>
    <t>Jordan Henderson</t>
  </si>
  <si>
    <t>STF-613d0d64</t>
  </si>
  <si>
    <t>Whitney Peters</t>
  </si>
  <si>
    <t>STF-a74d38db</t>
  </si>
  <si>
    <t>Brittney Phillips</t>
  </si>
  <si>
    <t>STF-b3eabf08</t>
  </si>
  <si>
    <t>Lauren Daniels</t>
  </si>
  <si>
    <t>STF-b5fcdde5</t>
  </si>
  <si>
    <t>Amy Silva</t>
  </si>
  <si>
    <t>STF-9b1ae05a</t>
  </si>
  <si>
    <t>Sarah Moore</t>
  </si>
  <si>
    <t>STF-9a4c0716</t>
  </si>
  <si>
    <t>Angela Lopez</t>
  </si>
  <si>
    <t>STF-3b8145ed</t>
  </si>
  <si>
    <t>Megan Young</t>
  </si>
  <si>
    <t>STF-00b6381d</t>
  </si>
  <si>
    <t>Steve Sanchez</t>
  </si>
  <si>
    <t>STF-cb0c3c50</t>
  </si>
  <si>
    <t>Lisa Barnes</t>
  </si>
  <si>
    <t>STF-dd7b8861</t>
  </si>
  <si>
    <t>Kelly Donovan</t>
  </si>
  <si>
    <t>STF-0b0dfb38</t>
  </si>
  <si>
    <t>Mike Allen</t>
  </si>
  <si>
    <t>STF-a1659ed6</t>
  </si>
  <si>
    <t>Michael Evans</t>
  </si>
  <si>
    <t>STF-ab59db32</t>
  </si>
  <si>
    <t>Paul Jones</t>
  </si>
  <si>
    <t>STF-3bbc468d</t>
  </si>
  <si>
    <t>Zachary Ferrell</t>
  </si>
  <si>
    <t>STF-6c412e28</t>
  </si>
  <si>
    <t>Daniel Baker</t>
  </si>
  <si>
    <t>STF-d7371c06</t>
  </si>
  <si>
    <t>Shirley Suarez</t>
  </si>
  <si>
    <t>STF-d77b1013</t>
  </si>
  <si>
    <t>Christopher Bass</t>
  </si>
  <si>
    <t>STF-a94474ff</t>
  </si>
  <si>
    <t>Lisa Archer</t>
  </si>
  <si>
    <t>STF-3c9039fc</t>
  </si>
  <si>
    <t>Aimee Montoya</t>
  </si>
  <si>
    <t>STF-cacb7290</t>
  </si>
  <si>
    <t>Matthew Mcmillan</t>
  </si>
  <si>
    <t>STF-446cb017</t>
  </si>
  <si>
    <t>Brian Rodriguez</t>
  </si>
  <si>
    <t>STF-0196d344</t>
  </si>
  <si>
    <t>Denise Jacobs</t>
  </si>
  <si>
    <t>STF-1b299895</t>
  </si>
  <si>
    <t>Christina Walters</t>
  </si>
  <si>
    <t>STF-22fe9443</t>
  </si>
  <si>
    <t>John Whitehead</t>
  </si>
  <si>
    <t>STF-e328da72</t>
  </si>
  <si>
    <t>Anna Henderson</t>
  </si>
  <si>
    <t>STF-1881ede3</t>
  </si>
  <si>
    <t>Aaron Wise</t>
  </si>
  <si>
    <t>STF-1bdb5ff4</t>
  </si>
  <si>
    <t>Deborah Figueroa</t>
  </si>
  <si>
    <t>STF-5fadf416</t>
  </si>
  <si>
    <t>STF-4993c812</t>
  </si>
  <si>
    <t>Stephen Mckee</t>
  </si>
  <si>
    <t>STF-598bd5c2</t>
  </si>
  <si>
    <t>Sandra Aguilar</t>
  </si>
  <si>
    <t>STF-fdc1ae8e</t>
  </si>
  <si>
    <t>Cameron Parker</t>
  </si>
  <si>
    <t>STF-c479af96</t>
  </si>
  <si>
    <t>Rebecca Valencia</t>
  </si>
  <si>
    <t>STF-79236218</t>
  </si>
  <si>
    <t>Christine Wright</t>
  </si>
  <si>
    <t>STF-55d90e65</t>
  </si>
  <si>
    <t>Richard Henson</t>
  </si>
  <si>
    <t>STF-2c8a995d</t>
  </si>
  <si>
    <t>Marc Moore</t>
  </si>
  <si>
    <t>STF-251c7770</t>
  </si>
  <si>
    <t>Sharon Cherry</t>
  </si>
  <si>
    <t>STF-3fb56209</t>
  </si>
  <si>
    <t>Sierra Johnson</t>
  </si>
  <si>
    <t>STF-a8c30e00</t>
  </si>
  <si>
    <t>Evelyn Galvan</t>
  </si>
  <si>
    <t>STF-021fdf9f</t>
  </si>
  <si>
    <t>Sharon Cochran</t>
  </si>
  <si>
    <t>length_of_stay</t>
  </si>
  <si>
    <t>Average_length_of_stay</t>
  </si>
  <si>
    <t>age_group</t>
  </si>
  <si>
    <t>0-17</t>
  </si>
  <si>
    <t>18-39</t>
  </si>
  <si>
    <t>40-64</t>
  </si>
  <si>
    <t>65+</t>
  </si>
  <si>
    <t>% of bed occupancy</t>
  </si>
  <si>
    <t>over_average_stay_or_not</t>
  </si>
  <si>
    <t>Column Labels</t>
  </si>
  <si>
    <t>month_name (when arrived)</t>
  </si>
  <si>
    <t>Row Labels</t>
  </si>
  <si>
    <t>Grand Total</t>
  </si>
  <si>
    <t>Count of patient_id</t>
  </si>
  <si>
    <t>Average of % of bed occupancy</t>
  </si>
  <si>
    <t>month_number</t>
  </si>
  <si>
    <t>Average of patient_satisfaction</t>
  </si>
  <si>
    <t>Average of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</si>
</sst>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theme="1"/>
      <name val="Aptos Narrow"/>
      <family val="2"/>
      <charset val="238"/>
      <scheme val="minor"/>
    </font>
    <font>
      <b/>
      <sz val="11"/>
      <color theme="1"/>
      <name val="Aptos Narrow"/>
      <family val="2"/>
      <charset val="238"/>
      <scheme val="minor"/>
    </font>
    <font>
      <b/>
      <sz val="11"/>
      <color theme="0"/>
      <name val="Aptos Narrow"/>
      <family val="2"/>
      <charset val="238"/>
      <scheme val="minor"/>
    </font>
    <font>
      <sz val="28"/>
      <color theme="1"/>
      <name val="Aptos Narrow"/>
      <family val="2"/>
      <charset val="238"/>
      <scheme val="minor"/>
    </font>
    <font>
      <sz val="8"/>
      <name val="Aptos Narrow"/>
      <family val="2"/>
      <charset val="238"/>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EDF2F4"/>
        <bgColor indexed="64"/>
      </patternFill>
    </fill>
    <fill>
      <patternFill patternType="solid">
        <fgColor rgb="FFE0C1B3"/>
        <bgColor indexed="64"/>
      </patternFill>
    </fill>
    <fill>
      <patternFill patternType="solid">
        <fgColor theme="4"/>
        <bgColor theme="4"/>
      </patternFill>
    </fill>
  </fills>
  <borders count="5">
    <border>
      <left/>
      <right/>
      <top/>
      <bottom/>
      <diagonal/>
    </border>
    <border>
      <left/>
      <right/>
      <top/>
      <bottom style="thin">
        <color theme="4" tint="0.39997558519241921"/>
      </bottom>
      <diagonal/>
    </border>
    <border>
      <left/>
      <right style="thick">
        <color indexed="64"/>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s>
  <cellStyleXfs count="1">
    <xf numFmtId="0" fontId="0" fillId="0" borderId="0"/>
  </cellStyleXfs>
  <cellXfs count="21">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2" borderId="1" xfId="0" applyFont="1" applyFill="1" applyBorder="1"/>
    <xf numFmtId="164" fontId="0" fillId="0" borderId="0" xfId="0" applyNumberFormat="1"/>
    <xf numFmtId="0" fontId="0" fillId="0" borderId="0" xfId="0" applyBorder="1"/>
    <xf numFmtId="0" fontId="0" fillId="3" borderId="0" xfId="0" applyFill="1" applyBorder="1"/>
    <xf numFmtId="0" fontId="0" fillId="4" borderId="2" xfId="0" applyFill="1" applyBorder="1"/>
    <xf numFmtId="0" fontId="2" fillId="5" borderId="4" xfId="0" applyFont="1" applyFill="1" applyBorder="1"/>
    <xf numFmtId="165" fontId="0" fillId="2" borderId="4" xfId="0" applyNumberFormat="1" applyFont="1" applyFill="1" applyBorder="1"/>
    <xf numFmtId="165" fontId="0" fillId="0" borderId="4" xfId="0" applyNumberFormat="1" applyFont="1" applyBorder="1"/>
    <xf numFmtId="165" fontId="0" fillId="0" borderId="3" xfId="0" applyNumberFormat="1" applyFont="1" applyBorder="1"/>
    <xf numFmtId="164" fontId="0" fillId="2" borderId="3" xfId="0" applyNumberFormat="1" applyFont="1" applyFill="1" applyBorder="1"/>
    <xf numFmtId="2" fontId="3" fillId="0" borderId="0" xfId="0" applyNumberFormat="1" applyFont="1" applyBorder="1"/>
    <xf numFmtId="164" fontId="0" fillId="0" borderId="0" xfId="0" applyNumberFormat="1" applyBorder="1"/>
    <xf numFmtId="10" fontId="0" fillId="0" borderId="0" xfId="0" applyNumberFormat="1"/>
    <xf numFmtId="1" fontId="0" fillId="0" borderId="0" xfId="0" applyNumberFormat="1"/>
    <xf numFmtId="1" fontId="0" fillId="0" borderId="0" xfId="0" applyNumberFormat="1" applyAlignment="1">
      <alignment horizontal="left"/>
    </xf>
  </cellXfs>
  <cellStyles count="1">
    <cellStyle name="Normal" xfId="0" builtinId="0"/>
  </cellStyles>
  <dxfs count="2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19" formatCode="d/mm/yyyy"/>
    </dxf>
    <dxf>
      <numFmt numFmtId="0" formatCode="General"/>
    </dxf>
    <dxf>
      <numFmt numFmtId="0" formatCode="General"/>
    </dxf>
    <dxf>
      <font>
        <b val="0"/>
        <i val="0"/>
        <strike val="0"/>
        <condense val="0"/>
        <extend val="0"/>
        <outline val="0"/>
        <shadow val="0"/>
        <u val="none"/>
        <vertAlign val="baseline"/>
        <sz val="11"/>
        <color theme="1"/>
        <name val="Aptos Narrow"/>
        <family val="2"/>
        <charset val="238"/>
        <scheme val="minor"/>
      </font>
      <numFmt numFmtId="165" formatCode="0.0%"/>
      <border diagonalUp="0" diagonalDown="0">
        <left style="thin">
          <color theme="4" tint="0.39997558519241921"/>
        </left>
        <right style="thin">
          <color theme="4" tint="0.39997558519241921"/>
        </right>
        <top style="thin">
          <color theme="4" tint="0.39997558519241921"/>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792E3"/>
      <color rgb="FF3D5A6C"/>
      <color rgb="FF562C2C"/>
      <color rgb="FFF2542D"/>
      <color rgb="FFE0C1B3"/>
      <color rgb="FFEEDDD6"/>
      <color rgb="FFFAF0E6"/>
      <color rgb="FF666370"/>
      <color rgb="FF8CC084"/>
      <color rgb="FF373F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[szpital.xlsx]raw_calculations!patients by service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542D"/>
          </a:solidFill>
          <a:ln>
            <a:noFill/>
          </a:ln>
          <a:effectLst/>
        </c:spPr>
      </c:pivotFmt>
      <c:pivotFmt>
        <c:idx val="4"/>
        <c:spPr>
          <a:solidFill>
            <a:srgbClr val="562C2C"/>
          </a:solidFill>
          <a:ln>
            <a:noFill/>
          </a:ln>
          <a:effectLst/>
        </c:spPr>
      </c:pivotFmt>
      <c:pivotFmt>
        <c:idx val="5"/>
        <c:spPr>
          <a:solidFill>
            <a:srgbClr val="3D5A6C"/>
          </a:solidFill>
          <a:ln>
            <a:noFill/>
          </a:ln>
          <a:effectLst/>
        </c:spPr>
      </c:pivotFmt>
      <c:pivotFmt>
        <c:idx val="6"/>
        <c:spPr>
          <a:solidFill>
            <a:srgbClr val="9792E3"/>
          </a:solidFill>
          <a:ln>
            <a:noFill/>
          </a:ln>
          <a:effectLst/>
        </c:spPr>
      </c:pivotFmt>
    </c:pivotFmts>
    <c:plotArea>
      <c:layout/>
      <c:barChart>
        <c:barDir val="col"/>
        <c:grouping val="clustered"/>
        <c:varyColors val="1"/>
        <c:ser>
          <c:idx val="0"/>
          <c:order val="0"/>
          <c:tx>
            <c:strRef>
              <c:f>raw_calculations!$E$3</c:f>
              <c:strCache>
                <c:ptCount val="1"/>
                <c:pt idx="0">
                  <c:v>Total</c:v>
                </c:pt>
              </c:strCache>
            </c:strRef>
          </c:tx>
          <c:spPr>
            <a:ln>
              <a:noFill/>
            </a:ln>
          </c:spPr>
          <c:invertIfNegative val="0"/>
          <c:dPt>
            <c:idx val="0"/>
            <c:invertIfNegative val="0"/>
            <c:bubble3D val="0"/>
            <c:spPr>
              <a:solidFill>
                <a:srgbClr val="F2542D"/>
              </a:solidFill>
              <a:ln>
                <a:noFill/>
              </a:ln>
              <a:effectLst/>
            </c:spPr>
            <c:extLst>
              <c:ext xmlns:c16="http://schemas.microsoft.com/office/drawing/2014/chart" uri="{C3380CC4-5D6E-409C-BE32-E72D297353CC}">
                <c16:uniqueId val="{00000001-7195-43EC-8C88-96D6A6DBFAE3}"/>
              </c:ext>
            </c:extLst>
          </c:dPt>
          <c:dPt>
            <c:idx val="1"/>
            <c:invertIfNegative val="0"/>
            <c:bubble3D val="0"/>
            <c:spPr>
              <a:solidFill>
                <a:srgbClr val="562C2C"/>
              </a:solidFill>
              <a:ln>
                <a:noFill/>
              </a:ln>
              <a:effectLst/>
            </c:spPr>
            <c:extLst>
              <c:ext xmlns:c16="http://schemas.microsoft.com/office/drawing/2014/chart" uri="{C3380CC4-5D6E-409C-BE32-E72D297353CC}">
                <c16:uniqueId val="{00000002-7195-43EC-8C88-96D6A6DBFAE3}"/>
              </c:ext>
            </c:extLst>
          </c:dPt>
          <c:dPt>
            <c:idx val="2"/>
            <c:invertIfNegative val="0"/>
            <c:bubble3D val="0"/>
            <c:spPr>
              <a:solidFill>
                <a:srgbClr val="3D5A6C"/>
              </a:solidFill>
              <a:ln>
                <a:noFill/>
              </a:ln>
              <a:effectLst/>
            </c:spPr>
            <c:extLst>
              <c:ext xmlns:c16="http://schemas.microsoft.com/office/drawing/2014/chart" uri="{C3380CC4-5D6E-409C-BE32-E72D297353CC}">
                <c16:uniqueId val="{00000003-7195-43EC-8C88-96D6A6DBFAE3}"/>
              </c:ext>
            </c:extLst>
          </c:dPt>
          <c:dPt>
            <c:idx val="3"/>
            <c:invertIfNegative val="0"/>
            <c:bubble3D val="0"/>
            <c:spPr>
              <a:solidFill>
                <a:srgbClr val="9792E3"/>
              </a:solidFill>
              <a:ln>
                <a:noFill/>
              </a:ln>
              <a:effectLst/>
            </c:spPr>
            <c:extLst>
              <c:ext xmlns:c16="http://schemas.microsoft.com/office/drawing/2014/chart" uri="{C3380CC4-5D6E-409C-BE32-E72D297353CC}">
                <c16:uniqueId val="{00000004-7195-43EC-8C88-96D6A6DBFAE3}"/>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raw_calculations!$D$4:$D$8</c:f>
              <c:strCache>
                <c:ptCount val="4"/>
                <c:pt idx="0">
                  <c:v>emergency</c:v>
                </c:pt>
                <c:pt idx="1">
                  <c:v>general_medicine</c:v>
                </c:pt>
                <c:pt idx="2">
                  <c:v>ICU</c:v>
                </c:pt>
                <c:pt idx="3">
                  <c:v>surgery</c:v>
                </c:pt>
              </c:strCache>
            </c:strRef>
          </c:cat>
          <c:val>
            <c:numRef>
              <c:f>raw_calculations!$E$4:$E$8</c:f>
              <c:numCache>
                <c:formatCode>General</c:formatCode>
                <c:ptCount val="4"/>
                <c:pt idx="0">
                  <c:v>263</c:v>
                </c:pt>
                <c:pt idx="1">
                  <c:v>242</c:v>
                </c:pt>
                <c:pt idx="2">
                  <c:v>241</c:v>
                </c:pt>
                <c:pt idx="3">
                  <c:v>254</c:v>
                </c:pt>
              </c:numCache>
            </c:numRef>
          </c:val>
          <c:extLst>
            <c:ext xmlns:c16="http://schemas.microsoft.com/office/drawing/2014/chart" uri="{C3380CC4-5D6E-409C-BE32-E72D297353CC}">
              <c16:uniqueId val="{00000000-7195-43EC-8C88-96D6A6DBFAE3}"/>
            </c:ext>
          </c:extLst>
        </c:ser>
        <c:dLbls>
          <c:showLegendKey val="0"/>
          <c:showVal val="0"/>
          <c:showCatName val="0"/>
          <c:showSerName val="0"/>
          <c:showPercent val="0"/>
          <c:showBubbleSize val="0"/>
        </c:dLbls>
        <c:gapWidth val="219"/>
        <c:overlap val="-27"/>
        <c:axId val="435762703"/>
        <c:axId val="435777583"/>
      </c:barChart>
      <c:catAx>
        <c:axId val="43576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777583"/>
        <c:crosses val="autoZero"/>
        <c:auto val="1"/>
        <c:lblAlgn val="ctr"/>
        <c:lblOffset val="100"/>
        <c:noMultiLvlLbl val="0"/>
      </c:catAx>
      <c:valAx>
        <c:axId val="435777583"/>
        <c:scaling>
          <c:orientation val="minMax"/>
        </c:scaling>
        <c:delete val="0"/>
        <c:axPos val="l"/>
        <c:majorGridlines>
          <c:spPr>
            <a:ln w="9525" cap="flat" cmpd="sng" algn="ctr">
              <a:solidFill>
                <a:schemeClr val="bg1">
                  <a:alpha val="47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76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[szpital.xlsx]raw_calculations!service by age</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54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62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D5A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792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792E3"/>
          </a:solidFill>
          <a:ln>
            <a:noFill/>
          </a:ln>
          <a:effectLst/>
        </c:spPr>
      </c:pivotFmt>
    </c:pivotFmts>
    <c:plotArea>
      <c:layout/>
      <c:barChart>
        <c:barDir val="bar"/>
        <c:grouping val="clustered"/>
        <c:varyColors val="0"/>
        <c:ser>
          <c:idx val="0"/>
          <c:order val="0"/>
          <c:tx>
            <c:strRef>
              <c:f>raw_calculations!$D$15:$D$16</c:f>
              <c:strCache>
                <c:ptCount val="1"/>
                <c:pt idx="0">
                  <c:v>emergency</c:v>
                </c:pt>
              </c:strCache>
            </c:strRef>
          </c:tx>
          <c:spPr>
            <a:solidFill>
              <a:srgbClr val="F254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raw_calculations!$C$17:$C$21</c:f>
              <c:strCache>
                <c:ptCount val="4"/>
                <c:pt idx="0">
                  <c:v>0-17</c:v>
                </c:pt>
                <c:pt idx="1">
                  <c:v>18-39</c:v>
                </c:pt>
                <c:pt idx="2">
                  <c:v>40-64</c:v>
                </c:pt>
                <c:pt idx="3">
                  <c:v>65+</c:v>
                </c:pt>
              </c:strCache>
            </c:strRef>
          </c:cat>
          <c:val>
            <c:numRef>
              <c:f>raw_calculations!$D$17:$D$21</c:f>
              <c:numCache>
                <c:formatCode>General</c:formatCode>
                <c:ptCount val="4"/>
                <c:pt idx="0">
                  <c:v>53</c:v>
                </c:pt>
                <c:pt idx="1">
                  <c:v>58</c:v>
                </c:pt>
                <c:pt idx="2">
                  <c:v>79</c:v>
                </c:pt>
                <c:pt idx="3">
                  <c:v>73</c:v>
                </c:pt>
              </c:numCache>
            </c:numRef>
          </c:val>
          <c:extLst>
            <c:ext xmlns:c16="http://schemas.microsoft.com/office/drawing/2014/chart" uri="{C3380CC4-5D6E-409C-BE32-E72D297353CC}">
              <c16:uniqueId val="{00000000-B0F1-4B1D-9C2D-25A40AEF6CB5}"/>
            </c:ext>
          </c:extLst>
        </c:ser>
        <c:ser>
          <c:idx val="1"/>
          <c:order val="1"/>
          <c:tx>
            <c:strRef>
              <c:f>raw_calculations!$E$15:$E$16</c:f>
              <c:strCache>
                <c:ptCount val="1"/>
                <c:pt idx="0">
                  <c:v>general_medicine</c:v>
                </c:pt>
              </c:strCache>
            </c:strRef>
          </c:tx>
          <c:spPr>
            <a:solidFill>
              <a:srgbClr val="562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raw_calculations!$C$17:$C$21</c:f>
              <c:strCache>
                <c:ptCount val="4"/>
                <c:pt idx="0">
                  <c:v>0-17</c:v>
                </c:pt>
                <c:pt idx="1">
                  <c:v>18-39</c:v>
                </c:pt>
                <c:pt idx="2">
                  <c:v>40-64</c:v>
                </c:pt>
                <c:pt idx="3">
                  <c:v>65+</c:v>
                </c:pt>
              </c:strCache>
            </c:strRef>
          </c:cat>
          <c:val>
            <c:numRef>
              <c:f>raw_calculations!$E$17:$E$21</c:f>
              <c:numCache>
                <c:formatCode>General</c:formatCode>
                <c:ptCount val="4"/>
                <c:pt idx="0">
                  <c:v>39</c:v>
                </c:pt>
                <c:pt idx="1">
                  <c:v>60</c:v>
                </c:pt>
                <c:pt idx="2">
                  <c:v>74</c:v>
                </c:pt>
                <c:pt idx="3">
                  <c:v>69</c:v>
                </c:pt>
              </c:numCache>
            </c:numRef>
          </c:val>
          <c:extLst>
            <c:ext xmlns:c16="http://schemas.microsoft.com/office/drawing/2014/chart" uri="{C3380CC4-5D6E-409C-BE32-E72D297353CC}">
              <c16:uniqueId val="{0000001C-18B3-44D0-A7C6-F8D9C0577A80}"/>
            </c:ext>
          </c:extLst>
        </c:ser>
        <c:ser>
          <c:idx val="2"/>
          <c:order val="2"/>
          <c:tx>
            <c:strRef>
              <c:f>raw_calculations!$F$15:$F$16</c:f>
              <c:strCache>
                <c:ptCount val="1"/>
                <c:pt idx="0">
                  <c:v>ICU</c:v>
                </c:pt>
              </c:strCache>
            </c:strRef>
          </c:tx>
          <c:spPr>
            <a:solidFill>
              <a:srgbClr val="3D5A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raw_calculations!$C$17:$C$21</c:f>
              <c:strCache>
                <c:ptCount val="4"/>
                <c:pt idx="0">
                  <c:v>0-17</c:v>
                </c:pt>
                <c:pt idx="1">
                  <c:v>18-39</c:v>
                </c:pt>
                <c:pt idx="2">
                  <c:v>40-64</c:v>
                </c:pt>
                <c:pt idx="3">
                  <c:v>65+</c:v>
                </c:pt>
              </c:strCache>
            </c:strRef>
          </c:cat>
          <c:val>
            <c:numRef>
              <c:f>raw_calculations!$F$17:$F$21</c:f>
              <c:numCache>
                <c:formatCode>General</c:formatCode>
                <c:ptCount val="4"/>
                <c:pt idx="0">
                  <c:v>37</c:v>
                </c:pt>
                <c:pt idx="1">
                  <c:v>78</c:v>
                </c:pt>
                <c:pt idx="2">
                  <c:v>59</c:v>
                </c:pt>
                <c:pt idx="3">
                  <c:v>67</c:v>
                </c:pt>
              </c:numCache>
            </c:numRef>
          </c:val>
          <c:extLst>
            <c:ext xmlns:c16="http://schemas.microsoft.com/office/drawing/2014/chart" uri="{C3380CC4-5D6E-409C-BE32-E72D297353CC}">
              <c16:uniqueId val="{0000001D-18B3-44D0-A7C6-F8D9C0577A80}"/>
            </c:ext>
          </c:extLst>
        </c:ser>
        <c:ser>
          <c:idx val="3"/>
          <c:order val="3"/>
          <c:tx>
            <c:strRef>
              <c:f>raw_calculations!$G$15:$G$16</c:f>
              <c:strCache>
                <c:ptCount val="1"/>
                <c:pt idx="0">
                  <c:v>surgery</c:v>
                </c:pt>
              </c:strCache>
            </c:strRef>
          </c:tx>
          <c:spPr>
            <a:solidFill>
              <a:srgbClr val="9792E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raw_calculations!$C$17:$C$21</c:f>
              <c:strCache>
                <c:ptCount val="4"/>
                <c:pt idx="0">
                  <c:v>0-17</c:v>
                </c:pt>
                <c:pt idx="1">
                  <c:v>18-39</c:v>
                </c:pt>
                <c:pt idx="2">
                  <c:v>40-64</c:v>
                </c:pt>
                <c:pt idx="3">
                  <c:v>65+</c:v>
                </c:pt>
              </c:strCache>
            </c:strRef>
          </c:cat>
          <c:val>
            <c:numRef>
              <c:f>raw_calculations!$G$17:$G$21</c:f>
              <c:numCache>
                <c:formatCode>General</c:formatCode>
                <c:ptCount val="4"/>
                <c:pt idx="0">
                  <c:v>56</c:v>
                </c:pt>
                <c:pt idx="1">
                  <c:v>53</c:v>
                </c:pt>
                <c:pt idx="2">
                  <c:v>67</c:v>
                </c:pt>
                <c:pt idx="3">
                  <c:v>78</c:v>
                </c:pt>
              </c:numCache>
            </c:numRef>
          </c:val>
          <c:extLst>
            <c:ext xmlns:c16="http://schemas.microsoft.com/office/drawing/2014/chart" uri="{C3380CC4-5D6E-409C-BE32-E72D297353CC}">
              <c16:uniqueId val="{0000001E-18B3-44D0-A7C6-F8D9C0577A80}"/>
            </c:ext>
          </c:extLst>
        </c:ser>
        <c:dLbls>
          <c:dLblPos val="outEnd"/>
          <c:showLegendKey val="0"/>
          <c:showVal val="1"/>
          <c:showCatName val="0"/>
          <c:showSerName val="0"/>
          <c:showPercent val="0"/>
          <c:showBubbleSize val="0"/>
        </c:dLbls>
        <c:gapWidth val="182"/>
        <c:axId val="1985409215"/>
        <c:axId val="1985413055"/>
      </c:barChart>
      <c:catAx>
        <c:axId val="198540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13055"/>
        <c:crosses val="autoZero"/>
        <c:auto val="1"/>
        <c:lblAlgn val="ctr"/>
        <c:lblOffset val="100"/>
        <c:noMultiLvlLbl val="0"/>
      </c:catAx>
      <c:valAx>
        <c:axId val="1985413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0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[szpital.xlsx]raw_calculations!PivotTable9</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3D5A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raw_calculations!$K$6</c:f>
              <c:strCache>
                <c:ptCount val="1"/>
                <c:pt idx="0">
                  <c:v>Total</c:v>
                </c:pt>
              </c:strCache>
            </c:strRef>
          </c:tx>
          <c:spPr>
            <a:ln w="28575" cap="rnd">
              <a:solidFill>
                <a:srgbClr val="3D5A6C"/>
              </a:solidFill>
              <a:round/>
            </a:ln>
            <a:effectLst/>
          </c:spPr>
          <c:marker>
            <c:symbol val="none"/>
          </c:marker>
          <c:cat>
            <c:strRef>
              <c:f>raw_calculations!$J$7:$J$18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raw_calculations!$K$7:$K$18</c:f>
              <c:numCache>
                <c:formatCode>General</c:formatCode>
                <c:ptCount val="12"/>
                <c:pt idx="0">
                  <c:v>85</c:v>
                </c:pt>
                <c:pt idx="1">
                  <c:v>80</c:v>
                </c:pt>
                <c:pt idx="2">
                  <c:v>75</c:v>
                </c:pt>
                <c:pt idx="3">
                  <c:v>81</c:v>
                </c:pt>
                <c:pt idx="4">
                  <c:v>85</c:v>
                </c:pt>
                <c:pt idx="5">
                  <c:v>81</c:v>
                </c:pt>
                <c:pt idx="6">
                  <c:v>82</c:v>
                </c:pt>
                <c:pt idx="7">
                  <c:v>88</c:v>
                </c:pt>
                <c:pt idx="8">
                  <c:v>94</c:v>
                </c:pt>
                <c:pt idx="9">
                  <c:v>92</c:v>
                </c:pt>
                <c:pt idx="10">
                  <c:v>83</c:v>
                </c:pt>
                <c:pt idx="11">
                  <c:v>74</c:v>
                </c:pt>
              </c:numCache>
            </c:numRef>
          </c:val>
          <c:smooth val="0"/>
          <c:extLst>
            <c:ext xmlns:c16="http://schemas.microsoft.com/office/drawing/2014/chart" uri="{C3380CC4-5D6E-409C-BE32-E72D297353CC}">
              <c16:uniqueId val="{00000000-BAC1-4B4A-887E-9678752FC691}"/>
            </c:ext>
          </c:extLst>
        </c:ser>
        <c:dLbls>
          <c:showLegendKey val="0"/>
          <c:showVal val="0"/>
          <c:showCatName val="0"/>
          <c:showSerName val="0"/>
          <c:showPercent val="0"/>
          <c:showBubbleSize val="0"/>
        </c:dLbls>
        <c:smooth val="0"/>
        <c:axId val="900396560"/>
        <c:axId val="900396080"/>
      </c:lineChart>
      <c:catAx>
        <c:axId val="900396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396080"/>
        <c:crosses val="autoZero"/>
        <c:auto val="1"/>
        <c:lblAlgn val="ctr"/>
        <c:lblOffset val="100"/>
        <c:noMultiLvlLbl val="0"/>
      </c:catAx>
      <c:valAx>
        <c:axId val="900396080"/>
        <c:scaling>
          <c:orientation val="minMax"/>
          <c:min val="0"/>
        </c:scaling>
        <c:delete val="0"/>
        <c:axPos val="l"/>
        <c:majorGridlines>
          <c:spPr>
            <a:ln w="9525" cap="flat" cmpd="sng" algn="ctr">
              <a:solidFill>
                <a:schemeClr val="bg1">
                  <a:alpha val="44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Number</a:t>
                </a:r>
                <a:r>
                  <a:rPr lang="pl-PL" baseline="0"/>
                  <a:t> of admissions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39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[szpital.xlsx]raw_calculations!PivotTable1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col"/>
        <c:grouping val="clustered"/>
        <c:varyColors val="0"/>
        <c:ser>
          <c:idx val="0"/>
          <c:order val="0"/>
          <c:tx>
            <c:strRef>
              <c:f>raw_calculations!$E$25</c:f>
              <c:strCache>
                <c:ptCount val="1"/>
                <c:pt idx="0">
                  <c:v>Total</c:v>
                </c:pt>
              </c:strCache>
            </c:strRef>
          </c:tx>
          <c:spPr>
            <a:solidFill>
              <a:schemeClr val="accent1"/>
            </a:solidFill>
            <a:ln>
              <a:noFill/>
            </a:ln>
            <a:effectLst/>
          </c:spPr>
          <c:invertIfNegative val="0"/>
          <c:cat>
            <c:strRef>
              <c:f>raw_calculations!$D$26:$D$38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raw_calculations!$E$26:$E$38</c:f>
              <c:numCache>
                <c:formatCode>0.00%</c:formatCode>
                <c:ptCount val="12"/>
                <c:pt idx="0">
                  <c:v>0.94296875000000002</c:v>
                </c:pt>
                <c:pt idx="1">
                  <c:v>0.91709638400814875</c:v>
                </c:pt>
                <c:pt idx="2">
                  <c:v>0.94121647267206476</c:v>
                </c:pt>
                <c:pt idx="3">
                  <c:v>0.93770345976228342</c:v>
                </c:pt>
                <c:pt idx="4">
                  <c:v>0.9355413072018004</c:v>
                </c:pt>
                <c:pt idx="5">
                  <c:v>0.90272620335759712</c:v>
                </c:pt>
                <c:pt idx="6">
                  <c:v>0.89708224084962107</c:v>
                </c:pt>
                <c:pt idx="7">
                  <c:v>0.93820704525089604</c:v>
                </c:pt>
                <c:pt idx="8">
                  <c:v>0.87720677736438402</c:v>
                </c:pt>
                <c:pt idx="9">
                  <c:v>0.96938718140929536</c:v>
                </c:pt>
                <c:pt idx="10">
                  <c:v>0.91570436507936503</c:v>
                </c:pt>
                <c:pt idx="11">
                  <c:v>0.92316082719487647</c:v>
                </c:pt>
              </c:numCache>
            </c:numRef>
          </c:val>
          <c:extLst>
            <c:ext xmlns:c16="http://schemas.microsoft.com/office/drawing/2014/chart" uri="{C3380CC4-5D6E-409C-BE32-E72D297353CC}">
              <c16:uniqueId val="{00000000-BBCB-4DBA-9FE5-34B295502C28}"/>
            </c:ext>
          </c:extLst>
        </c:ser>
        <c:dLbls>
          <c:showLegendKey val="0"/>
          <c:showVal val="0"/>
          <c:showCatName val="0"/>
          <c:showSerName val="0"/>
          <c:showPercent val="0"/>
          <c:showBubbleSize val="0"/>
        </c:dLbls>
        <c:gapWidth val="219"/>
        <c:overlap val="-27"/>
        <c:axId val="763775504"/>
        <c:axId val="763777904"/>
      </c:barChart>
      <c:catAx>
        <c:axId val="763775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Month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777904"/>
        <c:crosses val="autoZero"/>
        <c:auto val="1"/>
        <c:lblAlgn val="ctr"/>
        <c:lblOffset val="100"/>
        <c:noMultiLvlLbl val="0"/>
      </c:catAx>
      <c:valAx>
        <c:axId val="763777904"/>
        <c:scaling>
          <c:orientation val="minMax"/>
        </c:scaling>
        <c:delete val="0"/>
        <c:axPos val="l"/>
        <c:majorGridlines>
          <c:spPr>
            <a:ln w="9525" cap="flat" cmpd="sng" algn="ctr">
              <a:solidFill>
                <a:schemeClr val="bg1">
                  <a:alpha val="4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a:t>
                </a:r>
                <a:r>
                  <a:rPr lang="pl-PL" baseline="0"/>
                  <a:t> of occupancy</a:t>
                </a:r>
              </a:p>
            </c:rich>
          </c:tx>
          <c:layout>
            <c:manualLayout>
              <c:xMode val="edge"/>
              <c:yMode val="edge"/>
              <c:x val="1.3888888888888888E-2"/>
              <c:y val="0.263267716535433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77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[szpital.xlsx]raw_calculations!PivotTable2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62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62C2C"/>
          </a:solidFill>
          <a:ln>
            <a:noFill/>
          </a:ln>
          <a:effectLst/>
        </c:spPr>
      </c:pivotFmt>
      <c:pivotFmt>
        <c:idx val="3"/>
        <c:spPr>
          <a:solidFill>
            <a:srgbClr val="3D5A6C"/>
          </a:solidFill>
          <a:ln>
            <a:noFill/>
          </a:ln>
          <a:effectLst/>
        </c:spPr>
      </c:pivotFmt>
      <c:pivotFmt>
        <c:idx val="4"/>
        <c:spPr>
          <a:solidFill>
            <a:srgbClr val="9792E3"/>
          </a:solidFill>
          <a:ln>
            <a:noFill/>
          </a:ln>
          <a:effectLst/>
        </c:spPr>
      </c:pivotFmt>
      <c:pivotFmt>
        <c:idx val="5"/>
        <c:spPr>
          <a:solidFill>
            <a:srgbClr val="F2542D"/>
          </a:solidFill>
          <a:ln>
            <a:noFill/>
          </a:ln>
          <a:effectLst/>
        </c:spPr>
      </c:pivotFmt>
    </c:pivotFmts>
    <c:plotArea>
      <c:layout/>
      <c:barChart>
        <c:barDir val="col"/>
        <c:grouping val="clustered"/>
        <c:varyColors val="1"/>
        <c:ser>
          <c:idx val="0"/>
          <c:order val="0"/>
          <c:tx>
            <c:strRef>
              <c:f>raw_calculations!$K$23</c:f>
              <c:strCache>
                <c:ptCount val="1"/>
                <c:pt idx="0">
                  <c:v>Total</c:v>
                </c:pt>
              </c:strCache>
            </c:strRef>
          </c:tx>
          <c:spPr>
            <a:solidFill>
              <a:srgbClr val="562C2C"/>
            </a:solidFill>
          </c:spPr>
          <c:invertIfNegative val="0"/>
          <c:dPt>
            <c:idx val="0"/>
            <c:invertIfNegative val="0"/>
            <c:bubble3D val="0"/>
            <c:spPr>
              <a:solidFill>
                <a:srgbClr val="F2542D"/>
              </a:solidFill>
              <a:ln>
                <a:noFill/>
              </a:ln>
              <a:effectLst/>
            </c:spPr>
            <c:extLst>
              <c:ext xmlns:c16="http://schemas.microsoft.com/office/drawing/2014/chart" uri="{C3380CC4-5D6E-409C-BE32-E72D297353CC}">
                <c16:uniqueId val="{00000004-A879-48A9-AD9A-F8E22D735A89}"/>
              </c:ext>
            </c:extLst>
          </c:dPt>
          <c:dPt>
            <c:idx val="1"/>
            <c:invertIfNegative val="0"/>
            <c:bubble3D val="0"/>
            <c:spPr>
              <a:solidFill>
                <a:srgbClr val="562C2C"/>
              </a:solidFill>
              <a:ln>
                <a:noFill/>
              </a:ln>
              <a:effectLst/>
            </c:spPr>
            <c:extLst>
              <c:ext xmlns:c16="http://schemas.microsoft.com/office/drawing/2014/chart" uri="{C3380CC4-5D6E-409C-BE32-E72D297353CC}">
                <c16:uniqueId val="{00000001-A879-48A9-AD9A-F8E22D735A89}"/>
              </c:ext>
            </c:extLst>
          </c:dPt>
          <c:dPt>
            <c:idx val="2"/>
            <c:invertIfNegative val="0"/>
            <c:bubble3D val="0"/>
            <c:spPr>
              <a:solidFill>
                <a:srgbClr val="3D5A6C"/>
              </a:solidFill>
              <a:ln>
                <a:noFill/>
              </a:ln>
              <a:effectLst/>
            </c:spPr>
            <c:extLst>
              <c:ext xmlns:c16="http://schemas.microsoft.com/office/drawing/2014/chart" uri="{C3380CC4-5D6E-409C-BE32-E72D297353CC}">
                <c16:uniqueId val="{00000002-A879-48A9-AD9A-F8E22D735A89}"/>
              </c:ext>
            </c:extLst>
          </c:dPt>
          <c:dPt>
            <c:idx val="3"/>
            <c:invertIfNegative val="0"/>
            <c:bubble3D val="0"/>
            <c:spPr>
              <a:solidFill>
                <a:srgbClr val="9792E3"/>
              </a:solidFill>
              <a:ln>
                <a:noFill/>
              </a:ln>
              <a:effectLst/>
            </c:spPr>
            <c:extLst>
              <c:ext xmlns:c16="http://schemas.microsoft.com/office/drawing/2014/chart" uri="{C3380CC4-5D6E-409C-BE32-E72D297353CC}">
                <c16:uniqueId val="{00000003-A879-48A9-AD9A-F8E22D735A89}"/>
              </c:ext>
            </c:extLst>
          </c:dPt>
          <c:cat>
            <c:strRef>
              <c:f>raw_calculations!$J$24:$J$28</c:f>
              <c:strCache>
                <c:ptCount val="4"/>
                <c:pt idx="0">
                  <c:v>emergency</c:v>
                </c:pt>
                <c:pt idx="1">
                  <c:v>general_medicine</c:v>
                </c:pt>
                <c:pt idx="2">
                  <c:v>ICU</c:v>
                </c:pt>
                <c:pt idx="3">
                  <c:v>surgery</c:v>
                </c:pt>
              </c:strCache>
            </c:strRef>
          </c:cat>
          <c:val>
            <c:numRef>
              <c:f>raw_calculations!$K$24:$K$28</c:f>
              <c:numCache>
                <c:formatCode>General</c:formatCode>
                <c:ptCount val="4"/>
                <c:pt idx="0">
                  <c:v>77.884615384615387</c:v>
                </c:pt>
                <c:pt idx="1">
                  <c:v>81.230769230769226</c:v>
                </c:pt>
                <c:pt idx="2">
                  <c:v>81.615384615384613</c:v>
                </c:pt>
                <c:pt idx="3">
                  <c:v>79.269230769230774</c:v>
                </c:pt>
              </c:numCache>
            </c:numRef>
          </c:val>
          <c:extLst>
            <c:ext xmlns:c16="http://schemas.microsoft.com/office/drawing/2014/chart" uri="{C3380CC4-5D6E-409C-BE32-E72D297353CC}">
              <c16:uniqueId val="{00000000-A879-48A9-AD9A-F8E22D735A89}"/>
            </c:ext>
          </c:extLst>
        </c:ser>
        <c:dLbls>
          <c:showLegendKey val="0"/>
          <c:showVal val="0"/>
          <c:showCatName val="0"/>
          <c:showSerName val="0"/>
          <c:showPercent val="0"/>
          <c:showBubbleSize val="0"/>
        </c:dLbls>
        <c:gapWidth val="219"/>
        <c:overlap val="-27"/>
        <c:axId val="258654208"/>
        <c:axId val="258647008"/>
      </c:barChart>
      <c:catAx>
        <c:axId val="25865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47008"/>
        <c:crosses val="autoZero"/>
        <c:auto val="1"/>
        <c:lblAlgn val="ctr"/>
        <c:lblOffset val="100"/>
        <c:noMultiLvlLbl val="0"/>
      </c:catAx>
      <c:valAx>
        <c:axId val="25864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54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542D"/>
          </a:solidFill>
          <a:ln>
            <a:noFill/>
          </a:ln>
          <a:effectLst/>
        </c:spPr>
      </c:pivotFmt>
      <c:pivotFmt>
        <c:idx val="3"/>
        <c:spPr>
          <a:solidFill>
            <a:srgbClr val="562C2C"/>
          </a:solidFill>
          <a:ln>
            <a:noFill/>
          </a:ln>
          <a:effectLst/>
        </c:spPr>
      </c:pivotFmt>
      <c:pivotFmt>
        <c:idx val="4"/>
        <c:spPr>
          <a:solidFill>
            <a:srgbClr val="3D5A6C"/>
          </a:solidFill>
          <a:ln>
            <a:noFill/>
          </a:ln>
          <a:effectLst/>
        </c:spPr>
      </c:pivotFmt>
      <c:pivotFmt>
        <c:idx val="5"/>
        <c:spPr>
          <a:solidFill>
            <a:srgbClr val="9792E3"/>
          </a:solidFill>
          <a:ln>
            <a:noFill/>
          </a:ln>
          <a:effectLst/>
        </c:spPr>
      </c:pivotFmt>
    </c:pivotFmts>
    <c:plotArea>
      <c:layout>
        <c:manualLayout>
          <c:layoutTarget val="inner"/>
          <c:xMode val="edge"/>
          <c:yMode val="edge"/>
          <c:x val="7.2969816272965879E-2"/>
          <c:y val="4.6296296296296294E-2"/>
          <c:w val="0.8964746281714786"/>
          <c:h val="0.84204505686789155"/>
        </c:manualLayout>
      </c:layout>
      <c:barChart>
        <c:barDir val="col"/>
        <c:grouping val="clustered"/>
        <c:varyColors val="1"/>
        <c:ser>
          <c:idx val="0"/>
          <c:order val="0"/>
          <c:tx>
            <c:v>Total</c:v>
          </c:tx>
          <c:invertIfNegative val="0"/>
          <c:dPt>
            <c:idx val="0"/>
            <c:invertIfNegative val="0"/>
            <c:bubble3D val="0"/>
            <c:spPr>
              <a:solidFill>
                <a:srgbClr val="F2542D"/>
              </a:solidFill>
              <a:ln>
                <a:noFill/>
              </a:ln>
              <a:effectLst/>
            </c:spPr>
            <c:extLst>
              <c:ext xmlns:c16="http://schemas.microsoft.com/office/drawing/2014/chart" uri="{C3380CC4-5D6E-409C-BE32-E72D297353CC}">
                <c16:uniqueId val="{00000001-4A0F-499D-9C93-C5DED7A64710}"/>
              </c:ext>
            </c:extLst>
          </c:dPt>
          <c:dPt>
            <c:idx val="1"/>
            <c:invertIfNegative val="0"/>
            <c:bubble3D val="0"/>
            <c:spPr>
              <a:solidFill>
                <a:srgbClr val="562C2C"/>
              </a:solidFill>
              <a:ln>
                <a:noFill/>
              </a:ln>
              <a:effectLst/>
            </c:spPr>
            <c:extLst>
              <c:ext xmlns:c16="http://schemas.microsoft.com/office/drawing/2014/chart" uri="{C3380CC4-5D6E-409C-BE32-E72D297353CC}">
                <c16:uniqueId val="{00000002-4A0F-499D-9C93-C5DED7A64710}"/>
              </c:ext>
            </c:extLst>
          </c:dPt>
          <c:dPt>
            <c:idx val="2"/>
            <c:invertIfNegative val="0"/>
            <c:bubble3D val="0"/>
            <c:spPr>
              <a:solidFill>
                <a:srgbClr val="3D5A6C"/>
              </a:solidFill>
              <a:ln>
                <a:noFill/>
              </a:ln>
              <a:effectLst/>
            </c:spPr>
            <c:extLst>
              <c:ext xmlns:c16="http://schemas.microsoft.com/office/drawing/2014/chart" uri="{C3380CC4-5D6E-409C-BE32-E72D297353CC}">
                <c16:uniqueId val="{00000003-4A0F-499D-9C93-C5DED7A64710}"/>
              </c:ext>
            </c:extLst>
          </c:dPt>
          <c:dPt>
            <c:idx val="3"/>
            <c:invertIfNegative val="0"/>
            <c:bubble3D val="0"/>
            <c:spPr>
              <a:solidFill>
                <a:srgbClr val="9792E3"/>
              </a:solidFill>
              <a:ln>
                <a:noFill/>
              </a:ln>
              <a:effectLst/>
            </c:spPr>
            <c:extLst>
              <c:ext xmlns:c16="http://schemas.microsoft.com/office/drawing/2014/chart" uri="{C3380CC4-5D6E-409C-BE32-E72D297353CC}">
                <c16:uniqueId val="{00000004-4A0F-499D-9C93-C5DED7A64710}"/>
              </c:ext>
            </c:extLst>
          </c:dPt>
          <c:cat>
            <c:strLit>
              <c:ptCount val="4"/>
              <c:pt idx="0">
                <c:v>0-17</c:v>
              </c:pt>
              <c:pt idx="1">
                <c:v>18-39</c:v>
              </c:pt>
              <c:pt idx="2">
                <c:v>40-64</c:v>
              </c:pt>
              <c:pt idx="3">
                <c:v>65+</c:v>
              </c:pt>
            </c:strLit>
          </c:cat>
          <c:val>
            <c:numLit>
              <c:formatCode>General</c:formatCode>
              <c:ptCount val="4"/>
              <c:pt idx="0">
                <c:v>7.6270270270270268</c:v>
              </c:pt>
              <c:pt idx="1">
                <c:v>7.7068273092369477</c:v>
              </c:pt>
              <c:pt idx="2">
                <c:v>7.1111111111111107</c:v>
              </c:pt>
              <c:pt idx="3">
                <c:v>7.2926829268292686</c:v>
              </c:pt>
            </c:numLit>
          </c:val>
          <c:extLst>
            <c:ext xmlns:c16="http://schemas.microsoft.com/office/drawing/2014/chart" uri="{C3380CC4-5D6E-409C-BE32-E72D297353CC}">
              <c16:uniqueId val="{00000000-4A0F-499D-9C93-C5DED7A64710}"/>
            </c:ext>
          </c:extLst>
        </c:ser>
        <c:dLbls>
          <c:showLegendKey val="0"/>
          <c:showVal val="0"/>
          <c:showCatName val="0"/>
          <c:showSerName val="0"/>
          <c:showPercent val="0"/>
          <c:showBubbleSize val="0"/>
        </c:dLbls>
        <c:gapWidth val="219"/>
        <c:overlap val="-27"/>
        <c:axId val="258696928"/>
        <c:axId val="258702208"/>
      </c:barChart>
      <c:catAx>
        <c:axId val="25869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02208"/>
        <c:crosses val="autoZero"/>
        <c:auto val="1"/>
        <c:lblAlgn val="ctr"/>
        <c:lblOffset val="100"/>
        <c:noMultiLvlLbl val="0"/>
      </c:catAx>
      <c:valAx>
        <c:axId val="25870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969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[szpital.xlsx]raw_calculations!PivotTable8</c:name>
    <c:fmtId val="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raw_calculations!$L$34</c:f>
              <c:strCache>
                <c:ptCount val="1"/>
                <c:pt idx="0">
                  <c:v>Total</c:v>
                </c:pt>
              </c:strCache>
            </c:strRef>
          </c:tx>
          <c:spPr>
            <a:ln w="28575" cap="rnd">
              <a:solidFill>
                <a:schemeClr val="accent1"/>
              </a:solidFill>
              <a:round/>
            </a:ln>
            <a:effectLst/>
          </c:spPr>
          <c:marker>
            <c:symbol val="none"/>
          </c:marker>
          <c:cat>
            <c:strRef>
              <c:f>raw_calculations!$K$35:$K$49</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raw_calculations!$L$35:$L$49</c:f>
              <c:numCache>
                <c:formatCode>General</c:formatCode>
                <c:ptCount val="14"/>
                <c:pt idx="0">
                  <c:v>78.53947368421052</c:v>
                </c:pt>
                <c:pt idx="1">
                  <c:v>77.318181818181813</c:v>
                </c:pt>
                <c:pt idx="2">
                  <c:v>78.264705882352942</c:v>
                </c:pt>
                <c:pt idx="3">
                  <c:v>78.791666666666671</c:v>
                </c:pt>
                <c:pt idx="4">
                  <c:v>79.941176470588232</c:v>
                </c:pt>
                <c:pt idx="5">
                  <c:v>80.317073170731703</c:v>
                </c:pt>
                <c:pt idx="6">
                  <c:v>78.727272727272734</c:v>
                </c:pt>
                <c:pt idx="7">
                  <c:v>78.72</c:v>
                </c:pt>
                <c:pt idx="8">
                  <c:v>80.455696202531641</c:v>
                </c:pt>
                <c:pt idx="9">
                  <c:v>80.666666666666671</c:v>
                </c:pt>
                <c:pt idx="10">
                  <c:v>81.825396825396822</c:v>
                </c:pt>
                <c:pt idx="11">
                  <c:v>81.014925373134332</c:v>
                </c:pt>
                <c:pt idx="12">
                  <c:v>79.342857142857142</c:v>
                </c:pt>
                <c:pt idx="13">
                  <c:v>80.629032258064512</c:v>
                </c:pt>
              </c:numCache>
            </c:numRef>
          </c:val>
          <c:smooth val="0"/>
          <c:extLst>
            <c:ext xmlns:c16="http://schemas.microsoft.com/office/drawing/2014/chart" uri="{C3380CC4-5D6E-409C-BE32-E72D297353CC}">
              <c16:uniqueId val="{00000000-8E99-4697-869E-50378EF23A1A}"/>
            </c:ext>
          </c:extLst>
        </c:ser>
        <c:dLbls>
          <c:showLegendKey val="0"/>
          <c:showVal val="0"/>
          <c:showCatName val="0"/>
          <c:showSerName val="0"/>
          <c:showPercent val="0"/>
          <c:showBubbleSize val="0"/>
        </c:dLbls>
        <c:smooth val="0"/>
        <c:axId val="258675328"/>
        <c:axId val="258692128"/>
      </c:lineChart>
      <c:catAx>
        <c:axId val="258675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Length of stay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92128"/>
        <c:crosses val="autoZero"/>
        <c:auto val="1"/>
        <c:lblAlgn val="ctr"/>
        <c:lblOffset val="100"/>
        <c:noMultiLvlLbl val="0"/>
      </c:catAx>
      <c:valAx>
        <c:axId val="258692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Satisfaction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75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specific_info!A1"/><Relationship Id="rId3" Type="http://schemas.openxmlformats.org/officeDocument/2006/relationships/image" Target="../media/image2.svg"/><Relationship Id="rId7" Type="http://schemas.openxmlformats.org/officeDocument/2006/relationships/hyperlink" Target="#patients!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staff!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dashboard!A1"/><Relationship Id="rId4" Type="http://schemas.openxmlformats.org/officeDocument/2006/relationships/hyperlink" Target="#services_weekly!A1"/><Relationship Id="rId9" Type="http://schemas.openxmlformats.org/officeDocument/2006/relationships/image" Target="../media/image6.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specific_info!A1"/><Relationship Id="rId3" Type="http://schemas.openxmlformats.org/officeDocument/2006/relationships/image" Target="../media/image2.svg"/><Relationship Id="rId7" Type="http://schemas.openxmlformats.org/officeDocument/2006/relationships/hyperlink" Target="#patients!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staff!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dashboard!A1"/><Relationship Id="rId4" Type="http://schemas.openxmlformats.org/officeDocument/2006/relationships/hyperlink" Target="#services_weekly!A1"/><Relationship Id="rId9" Type="http://schemas.openxmlformats.org/officeDocument/2006/relationships/image" Target="../media/image6.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specific_info!A1"/><Relationship Id="rId3" Type="http://schemas.openxmlformats.org/officeDocument/2006/relationships/image" Target="../media/image2.svg"/><Relationship Id="rId7" Type="http://schemas.openxmlformats.org/officeDocument/2006/relationships/hyperlink" Target="#patients!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staff!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dashboard!A1"/><Relationship Id="rId4" Type="http://schemas.openxmlformats.org/officeDocument/2006/relationships/hyperlink" Target="#services_weekly!A1"/><Relationship Id="rId9" Type="http://schemas.openxmlformats.org/officeDocument/2006/relationships/image" Target="../media/image6.svg"/><Relationship Id="rId14"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specific_info!A1"/><Relationship Id="rId3" Type="http://schemas.openxmlformats.org/officeDocument/2006/relationships/image" Target="../media/image2.svg"/><Relationship Id="rId7" Type="http://schemas.openxmlformats.org/officeDocument/2006/relationships/hyperlink" Target="#patients!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staff!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dashboard!A1"/><Relationship Id="rId4" Type="http://schemas.openxmlformats.org/officeDocument/2006/relationships/hyperlink" Target="#services_weekly!A1"/><Relationship Id="rId9" Type="http://schemas.openxmlformats.org/officeDocument/2006/relationships/image" Target="../media/image6.svg"/><Relationship Id="rId14"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patients!A1"/><Relationship Id="rId18" Type="http://schemas.openxmlformats.org/officeDocument/2006/relationships/image" Target="../media/image8.svg"/><Relationship Id="rId3" Type="http://schemas.openxmlformats.org/officeDocument/2006/relationships/chart" Target="../charts/chart1.xml"/><Relationship Id="rId21" Type="http://schemas.openxmlformats.org/officeDocument/2006/relationships/image" Target="../media/image10.svg"/><Relationship Id="rId7" Type="http://schemas.openxmlformats.org/officeDocument/2006/relationships/hyperlink" Target="#staff!A1"/><Relationship Id="rId12" Type="http://schemas.openxmlformats.org/officeDocument/2006/relationships/image" Target="../media/image4.svg"/><Relationship Id="rId17" Type="http://schemas.openxmlformats.org/officeDocument/2006/relationships/image" Target="../media/image7.png"/><Relationship Id="rId2" Type="http://schemas.openxmlformats.org/officeDocument/2006/relationships/image" Target="../media/image12.svg"/><Relationship Id="rId16" Type="http://schemas.openxmlformats.org/officeDocument/2006/relationships/hyperlink" Target="#dashboard!A1"/><Relationship Id="rId20" Type="http://schemas.openxmlformats.org/officeDocument/2006/relationships/image" Target="../media/image9.png"/><Relationship Id="rId1" Type="http://schemas.openxmlformats.org/officeDocument/2006/relationships/image" Target="../media/image11.png"/><Relationship Id="rId6" Type="http://schemas.openxmlformats.org/officeDocument/2006/relationships/chart" Target="../charts/chart2.xml"/><Relationship Id="rId11" Type="http://schemas.openxmlformats.org/officeDocument/2006/relationships/image" Target="../media/image3.png"/><Relationship Id="rId5" Type="http://schemas.openxmlformats.org/officeDocument/2006/relationships/image" Target="../media/image14.svg"/><Relationship Id="rId15" Type="http://schemas.openxmlformats.org/officeDocument/2006/relationships/image" Target="../media/image6.svg"/><Relationship Id="rId10" Type="http://schemas.openxmlformats.org/officeDocument/2006/relationships/hyperlink" Target="#services_weekly!A1"/><Relationship Id="rId19" Type="http://schemas.openxmlformats.org/officeDocument/2006/relationships/hyperlink" Target="#specific_info!A1"/><Relationship Id="rId4" Type="http://schemas.openxmlformats.org/officeDocument/2006/relationships/image" Target="../media/image13.png"/><Relationship Id="rId9" Type="http://schemas.openxmlformats.org/officeDocument/2006/relationships/image" Target="../media/image2.svg"/><Relationship Id="rId14" Type="http://schemas.openxmlformats.org/officeDocument/2006/relationships/image" Target="../media/image5.png"/></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3.xml"/><Relationship Id="rId18" Type="http://schemas.openxmlformats.org/officeDocument/2006/relationships/hyperlink" Target="#specific_info!A1"/><Relationship Id="rId3" Type="http://schemas.openxmlformats.org/officeDocument/2006/relationships/image" Target="../media/image2.svg"/><Relationship Id="rId7" Type="http://schemas.openxmlformats.org/officeDocument/2006/relationships/hyperlink" Target="#patients!A1"/><Relationship Id="rId12" Type="http://schemas.openxmlformats.org/officeDocument/2006/relationships/image" Target="../media/image8.svg"/><Relationship Id="rId17"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chart" Target="../charts/chart6.xml"/><Relationship Id="rId20" Type="http://schemas.openxmlformats.org/officeDocument/2006/relationships/image" Target="../media/image10.svg"/><Relationship Id="rId1" Type="http://schemas.openxmlformats.org/officeDocument/2006/relationships/hyperlink" Target="#staff!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hyperlink" Target="#dashboard!A1"/><Relationship Id="rId19" Type="http://schemas.openxmlformats.org/officeDocument/2006/relationships/image" Target="../media/image9.png"/><Relationship Id="rId4" Type="http://schemas.openxmlformats.org/officeDocument/2006/relationships/hyperlink" Target="#services_weekly!A1"/><Relationship Id="rId9" Type="http://schemas.openxmlformats.org/officeDocument/2006/relationships/image" Target="../media/image6.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9524</xdr:colOff>
      <xdr:row>41</xdr:row>
      <xdr:rowOff>40275</xdr:rowOff>
    </xdr:from>
    <xdr:to>
      <xdr:col>1</xdr:col>
      <xdr:colOff>9525</xdr:colOff>
      <xdr:row>55</xdr:row>
      <xdr:rowOff>40275</xdr:rowOff>
    </xdr:to>
    <mc:AlternateContent xmlns:mc="http://schemas.openxmlformats.org/markup-compatibility/2006">
      <mc:Choice xmlns:a14="http://schemas.microsoft.com/office/drawing/2010/main" Requires="a14">
        <xdr:graphicFrame macro="">
          <xdr:nvGraphicFramePr>
            <xdr:cNvPr id="10" name="age_group 7">
              <a:extLst>
                <a:ext uri="{FF2B5EF4-FFF2-40B4-BE49-F238E27FC236}">
                  <a16:creationId xmlns:a16="http://schemas.microsoft.com/office/drawing/2014/main" id="{BF0E1DA6-2F40-4D59-89EB-829F323A490B}"/>
                </a:ext>
              </a:extLst>
            </xdr:cNvPr>
            <xdr:cNvGraphicFramePr/>
          </xdr:nvGraphicFramePr>
          <xdr:xfrm>
            <a:off x="0" y="0"/>
            <a:ext cx="0" cy="0"/>
          </xdr:xfrm>
          <a:graphic>
            <a:graphicData uri="http://schemas.microsoft.com/office/drawing/2010/slicer">
              <sle:slicer xmlns:sle="http://schemas.microsoft.com/office/drawing/2010/slicer" name="age_group 7"/>
            </a:graphicData>
          </a:graphic>
        </xdr:graphicFrame>
      </mc:Choice>
      <mc:Fallback>
        <xdr:sp macro="" textlink="">
          <xdr:nvSpPr>
            <xdr:cNvPr id="0" name=""/>
            <xdr:cNvSpPr>
              <a:spLocks noTextEdit="1"/>
            </xdr:cNvSpPr>
          </xdr:nvSpPr>
          <xdr:spPr>
            <a:xfrm>
              <a:off x="9524" y="7850775"/>
              <a:ext cx="1638301"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62325</xdr:rowOff>
    </xdr:from>
    <xdr:to>
      <xdr:col>1</xdr:col>
      <xdr:colOff>9524</xdr:colOff>
      <xdr:row>41</xdr:row>
      <xdr:rowOff>62325</xdr:rowOff>
    </xdr:to>
    <mc:AlternateContent xmlns:mc="http://schemas.openxmlformats.org/markup-compatibility/2006">
      <mc:Choice xmlns:a14="http://schemas.microsoft.com/office/drawing/2010/main" Requires="a14">
        <xdr:graphicFrame macro="">
          <xdr:nvGraphicFramePr>
            <xdr:cNvPr id="11" name="service 8">
              <a:extLst>
                <a:ext uri="{FF2B5EF4-FFF2-40B4-BE49-F238E27FC236}">
                  <a16:creationId xmlns:a16="http://schemas.microsoft.com/office/drawing/2014/main" id="{C6FE9157-48D2-4EA8-91B9-0FD6F09EFB8C}"/>
                </a:ext>
              </a:extLst>
            </xdr:cNvPr>
            <xdr:cNvGraphicFramePr/>
          </xdr:nvGraphicFramePr>
          <xdr:xfrm>
            <a:off x="0" y="0"/>
            <a:ext cx="0" cy="0"/>
          </xdr:xfrm>
          <a:graphic>
            <a:graphicData uri="http://schemas.microsoft.com/office/drawing/2010/slicer">
              <sle:slicer xmlns:sle="http://schemas.microsoft.com/office/drawing/2010/slicer" name="service 8"/>
            </a:graphicData>
          </a:graphic>
        </xdr:graphicFrame>
      </mc:Choice>
      <mc:Fallback>
        <xdr:sp macro="" textlink="">
          <xdr:nvSpPr>
            <xdr:cNvPr id="0" name=""/>
            <xdr:cNvSpPr>
              <a:spLocks noTextEdit="1"/>
            </xdr:cNvSpPr>
          </xdr:nvSpPr>
          <xdr:spPr>
            <a:xfrm>
              <a:off x="0" y="5205825"/>
              <a:ext cx="164782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409429</xdr:colOff>
      <xdr:row>11</xdr:row>
      <xdr:rowOff>104775</xdr:rowOff>
    </xdr:from>
    <xdr:to>
      <xdr:col>0</xdr:col>
      <xdr:colOff>1190772</xdr:colOff>
      <xdr:row>15</xdr:row>
      <xdr:rowOff>95250</xdr:rowOff>
    </xdr:to>
    <xdr:pic>
      <xdr:nvPicPr>
        <xdr:cNvPr id="12" name="Graphic 11" descr="Employee badge with solid fill">
          <a:hlinkClick xmlns:r="http://schemas.openxmlformats.org/officeDocument/2006/relationships" r:id="rId1" tooltip="Move to &quot;staff&quot; table"/>
          <a:extLst>
            <a:ext uri="{FF2B5EF4-FFF2-40B4-BE49-F238E27FC236}">
              <a16:creationId xmlns:a16="http://schemas.microsoft.com/office/drawing/2014/main" id="{88061820-A3B8-40A2-9E2A-B09B2D93B0A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09429" y="2200275"/>
          <a:ext cx="781343" cy="752475"/>
        </a:xfrm>
        <a:prstGeom prst="rect">
          <a:avLst/>
        </a:prstGeom>
      </xdr:spPr>
    </xdr:pic>
    <xdr:clientData/>
  </xdr:twoCellAnchor>
  <xdr:twoCellAnchor>
    <xdr:from>
      <xdr:col>0</xdr:col>
      <xdr:colOff>469949</xdr:colOff>
      <xdr:row>20</xdr:row>
      <xdr:rowOff>84249</xdr:rowOff>
    </xdr:from>
    <xdr:to>
      <xdr:col>0</xdr:col>
      <xdr:colOff>1130251</xdr:colOff>
      <xdr:row>23</xdr:row>
      <xdr:rowOff>187732</xdr:rowOff>
    </xdr:to>
    <xdr:pic>
      <xdr:nvPicPr>
        <xdr:cNvPr id="13" name="Graphic 12" descr="Sleep with solid fill">
          <a:hlinkClick xmlns:r="http://schemas.openxmlformats.org/officeDocument/2006/relationships" r:id="rId4" tooltip="Move to &quot;services_weekly&quot; table"/>
          <a:extLst>
            <a:ext uri="{FF2B5EF4-FFF2-40B4-BE49-F238E27FC236}">
              <a16:creationId xmlns:a16="http://schemas.microsoft.com/office/drawing/2014/main" id="{5680C5D0-3338-4627-BA15-D1157B1DE2F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9949" y="3894249"/>
          <a:ext cx="660302" cy="674983"/>
        </a:xfrm>
        <a:prstGeom prst="rect">
          <a:avLst/>
        </a:prstGeom>
      </xdr:spPr>
    </xdr:pic>
    <xdr:clientData/>
  </xdr:twoCellAnchor>
  <xdr:twoCellAnchor>
    <xdr:from>
      <xdr:col>0</xdr:col>
      <xdr:colOff>496551</xdr:colOff>
      <xdr:row>16</xdr:row>
      <xdr:rowOff>66503</xdr:rowOff>
    </xdr:from>
    <xdr:to>
      <xdr:col>0</xdr:col>
      <xdr:colOff>1123951</xdr:colOff>
      <xdr:row>19</xdr:row>
      <xdr:rowOff>143434</xdr:rowOff>
    </xdr:to>
    <xdr:pic>
      <xdr:nvPicPr>
        <xdr:cNvPr id="14" name="Graphic 13" descr="Stethoscope with solid fill">
          <a:hlinkClick xmlns:r="http://schemas.openxmlformats.org/officeDocument/2006/relationships" r:id="rId7" tooltip="Move to &quot;patients&quot; table"/>
          <a:extLst>
            <a:ext uri="{FF2B5EF4-FFF2-40B4-BE49-F238E27FC236}">
              <a16:creationId xmlns:a16="http://schemas.microsoft.com/office/drawing/2014/main" id="{BD32736F-1054-40D9-88F7-B9AFEBB765C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96551" y="3114503"/>
          <a:ext cx="627400" cy="648431"/>
        </a:xfrm>
        <a:prstGeom prst="rect">
          <a:avLst/>
        </a:prstGeom>
      </xdr:spPr>
    </xdr:pic>
    <xdr:clientData/>
  </xdr:twoCellAnchor>
  <xdr:twoCellAnchor>
    <xdr:from>
      <xdr:col>0</xdr:col>
      <xdr:colOff>454497</xdr:colOff>
      <xdr:row>3</xdr:row>
      <xdr:rowOff>0</xdr:rowOff>
    </xdr:from>
    <xdr:to>
      <xdr:col>0</xdr:col>
      <xdr:colOff>1145703</xdr:colOff>
      <xdr:row>6</xdr:row>
      <xdr:rowOff>142876</xdr:rowOff>
    </xdr:to>
    <xdr:pic>
      <xdr:nvPicPr>
        <xdr:cNvPr id="15" name="Graphic 14" descr="Presentation with bar chart with solid fill">
          <a:hlinkClick xmlns:r="http://schemas.openxmlformats.org/officeDocument/2006/relationships" r:id="rId10" tooltip="Move to &quot;dashboard&quot; table"/>
          <a:extLst>
            <a:ext uri="{FF2B5EF4-FFF2-40B4-BE49-F238E27FC236}">
              <a16:creationId xmlns:a16="http://schemas.microsoft.com/office/drawing/2014/main" id="{A5143152-FC02-485D-A6B1-B4CEE0D60AA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4497" y="571500"/>
          <a:ext cx="691206" cy="714376"/>
        </a:xfrm>
        <a:prstGeom prst="rect">
          <a:avLst/>
        </a:prstGeom>
      </xdr:spPr>
    </xdr:pic>
    <xdr:clientData/>
  </xdr:twoCellAnchor>
  <xdr:twoCellAnchor editAs="oneCell">
    <xdr:from>
      <xdr:col>0</xdr:col>
      <xdr:colOff>451784</xdr:colOff>
      <xdr:row>7</xdr:row>
      <xdr:rowOff>112993</xdr:rowOff>
    </xdr:from>
    <xdr:to>
      <xdr:col>0</xdr:col>
      <xdr:colOff>1148416</xdr:colOff>
      <xdr:row>11</xdr:row>
      <xdr:rowOff>47625</xdr:rowOff>
    </xdr:to>
    <xdr:pic>
      <xdr:nvPicPr>
        <xdr:cNvPr id="21" name="Graphic 20" descr="Bar chart with solid fill">
          <a:hlinkClick xmlns:r="http://schemas.openxmlformats.org/officeDocument/2006/relationships" r:id="rId13" tooltip="Move to &quot;specific_info&quot; table"/>
          <a:extLst>
            <a:ext uri="{FF2B5EF4-FFF2-40B4-BE49-F238E27FC236}">
              <a16:creationId xmlns:a16="http://schemas.microsoft.com/office/drawing/2014/main" id="{040E5BC6-E111-46E1-9266-62BB0BE1245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51784" y="1446493"/>
          <a:ext cx="696632" cy="696632"/>
        </a:xfrm>
        <a:prstGeom prst="rect">
          <a:avLst/>
        </a:prstGeom>
      </xdr:spPr>
    </xdr:pic>
    <xdr:clientData/>
  </xdr:twoCellAnchor>
  <xdr:twoCellAnchor>
    <xdr:from>
      <xdr:col>0</xdr:col>
      <xdr:colOff>0</xdr:colOff>
      <xdr:row>0</xdr:row>
      <xdr:rowOff>85725</xdr:rowOff>
    </xdr:from>
    <xdr:to>
      <xdr:col>1</xdr:col>
      <xdr:colOff>123825</xdr:colOff>
      <xdr:row>2</xdr:row>
      <xdr:rowOff>9525</xdr:rowOff>
    </xdr:to>
    <xdr:sp macro="" textlink="">
      <xdr:nvSpPr>
        <xdr:cNvPr id="22" name="TextBox 21">
          <a:extLst>
            <a:ext uri="{FF2B5EF4-FFF2-40B4-BE49-F238E27FC236}">
              <a16:creationId xmlns:a16="http://schemas.microsoft.com/office/drawing/2014/main" id="{921D31B9-226D-415C-A80F-AFF7F9466F84}"/>
            </a:ext>
          </a:extLst>
        </xdr:cNvPr>
        <xdr:cNvSpPr txBox="1"/>
      </xdr:nvSpPr>
      <xdr:spPr>
        <a:xfrm>
          <a:off x="0" y="85725"/>
          <a:ext cx="17621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100">
              <a:latin typeface="Segoe UI Semibold" panose="020B0702040204020203" pitchFamily="34" charset="0"/>
              <a:cs typeface="Segoe UI Semibold" panose="020B0702040204020203" pitchFamily="34" charset="0"/>
            </a:rPr>
            <a:t>Click to go to the table:</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0</xdr:col>
      <xdr:colOff>409575</xdr:colOff>
      <xdr:row>2</xdr:row>
      <xdr:rowOff>190499</xdr:rowOff>
    </xdr:from>
    <xdr:to>
      <xdr:col>0</xdr:col>
      <xdr:colOff>1190775</xdr:colOff>
      <xdr:row>6</xdr:row>
      <xdr:rowOff>134099</xdr:rowOff>
    </xdr:to>
    <xdr:sp macro="" textlink="">
      <xdr:nvSpPr>
        <xdr:cNvPr id="23" name="Rectangle 22">
          <a:extLst>
            <a:ext uri="{FF2B5EF4-FFF2-40B4-BE49-F238E27FC236}">
              <a16:creationId xmlns:a16="http://schemas.microsoft.com/office/drawing/2014/main" id="{110BE409-0403-4AB4-95B4-FE60DAEA4031}"/>
            </a:ext>
          </a:extLst>
        </xdr:cNvPr>
        <xdr:cNvSpPr/>
      </xdr:nvSpPr>
      <xdr:spPr>
        <a:xfrm>
          <a:off x="409575" y="571499"/>
          <a:ext cx="781200" cy="70560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7</xdr:row>
      <xdr:rowOff>71999</xdr:rowOff>
    </xdr:from>
    <xdr:to>
      <xdr:col>0</xdr:col>
      <xdr:colOff>1190625</xdr:colOff>
      <xdr:row>11</xdr:row>
      <xdr:rowOff>14849</xdr:rowOff>
    </xdr:to>
    <xdr:sp macro="" textlink="">
      <xdr:nvSpPr>
        <xdr:cNvPr id="24" name="Rectangle 23">
          <a:extLst>
            <a:ext uri="{FF2B5EF4-FFF2-40B4-BE49-F238E27FC236}">
              <a16:creationId xmlns:a16="http://schemas.microsoft.com/office/drawing/2014/main" id="{AB8790C6-76FA-4315-8733-FAAADA21D459}"/>
            </a:ext>
          </a:extLst>
        </xdr:cNvPr>
        <xdr:cNvSpPr/>
      </xdr:nvSpPr>
      <xdr:spPr>
        <a:xfrm>
          <a:off x="409575" y="140549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11</xdr:row>
      <xdr:rowOff>143249</xdr:rowOff>
    </xdr:from>
    <xdr:to>
      <xdr:col>0</xdr:col>
      <xdr:colOff>1190625</xdr:colOff>
      <xdr:row>15</xdr:row>
      <xdr:rowOff>86099</xdr:rowOff>
    </xdr:to>
    <xdr:sp macro="" textlink="">
      <xdr:nvSpPr>
        <xdr:cNvPr id="25" name="Rectangle 24">
          <a:extLst>
            <a:ext uri="{FF2B5EF4-FFF2-40B4-BE49-F238E27FC236}">
              <a16:creationId xmlns:a16="http://schemas.microsoft.com/office/drawing/2014/main" id="{C31E4CB2-10E6-428D-9C54-DBBF78349321}"/>
            </a:ext>
          </a:extLst>
        </xdr:cNvPr>
        <xdr:cNvSpPr/>
      </xdr:nvSpPr>
      <xdr:spPr>
        <a:xfrm>
          <a:off x="409575" y="223874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16</xdr:row>
      <xdr:rowOff>23999</xdr:rowOff>
    </xdr:from>
    <xdr:to>
      <xdr:col>0</xdr:col>
      <xdr:colOff>1190625</xdr:colOff>
      <xdr:row>19</xdr:row>
      <xdr:rowOff>157349</xdr:rowOff>
    </xdr:to>
    <xdr:sp macro="" textlink="">
      <xdr:nvSpPr>
        <xdr:cNvPr id="26" name="Rectangle 25">
          <a:extLst>
            <a:ext uri="{FF2B5EF4-FFF2-40B4-BE49-F238E27FC236}">
              <a16:creationId xmlns:a16="http://schemas.microsoft.com/office/drawing/2014/main" id="{57A9F645-8C1C-44FC-A9D9-B6554F4531FD}"/>
            </a:ext>
          </a:extLst>
        </xdr:cNvPr>
        <xdr:cNvSpPr/>
      </xdr:nvSpPr>
      <xdr:spPr>
        <a:xfrm>
          <a:off x="409575" y="307199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20</xdr:row>
      <xdr:rowOff>95250</xdr:rowOff>
    </xdr:from>
    <xdr:to>
      <xdr:col>0</xdr:col>
      <xdr:colOff>1190625</xdr:colOff>
      <xdr:row>24</xdr:row>
      <xdr:rowOff>38100</xdr:rowOff>
    </xdr:to>
    <xdr:sp macro="" textlink="">
      <xdr:nvSpPr>
        <xdr:cNvPr id="27" name="Rectangle 26">
          <a:extLst>
            <a:ext uri="{FF2B5EF4-FFF2-40B4-BE49-F238E27FC236}">
              <a16:creationId xmlns:a16="http://schemas.microsoft.com/office/drawing/2014/main" id="{EC391EC9-8C8B-4630-A4EA-CB25F9F7C197}"/>
            </a:ext>
          </a:extLst>
        </xdr:cNvPr>
        <xdr:cNvSpPr/>
      </xdr:nvSpPr>
      <xdr:spPr>
        <a:xfrm>
          <a:off x="409575" y="3905250"/>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9524</xdr:colOff>
      <xdr:row>41</xdr:row>
      <xdr:rowOff>40275</xdr:rowOff>
    </xdr:from>
    <xdr:to>
      <xdr:col>1</xdr:col>
      <xdr:colOff>9525</xdr:colOff>
      <xdr:row>55</xdr:row>
      <xdr:rowOff>40275</xdr:rowOff>
    </xdr:to>
    <mc:AlternateContent xmlns:mc="http://schemas.openxmlformats.org/markup-compatibility/2006">
      <mc:Choice xmlns:a14="http://schemas.microsoft.com/office/drawing/2010/main" Requires="a14">
        <xdr:graphicFrame macro="">
          <xdr:nvGraphicFramePr>
            <xdr:cNvPr id="15" name="age_group 6">
              <a:extLst>
                <a:ext uri="{FF2B5EF4-FFF2-40B4-BE49-F238E27FC236}">
                  <a16:creationId xmlns:a16="http://schemas.microsoft.com/office/drawing/2014/main" id="{B6FBFDB4-104A-41DB-B69E-603A7C7BAAF6}"/>
                </a:ext>
              </a:extLst>
            </xdr:cNvPr>
            <xdr:cNvGraphicFramePr/>
          </xdr:nvGraphicFramePr>
          <xdr:xfrm>
            <a:off x="0" y="0"/>
            <a:ext cx="0" cy="0"/>
          </xdr:xfrm>
          <a:graphic>
            <a:graphicData uri="http://schemas.microsoft.com/office/drawing/2010/slicer">
              <sle:slicer xmlns:sle="http://schemas.microsoft.com/office/drawing/2010/slicer" name="age_group 6"/>
            </a:graphicData>
          </a:graphic>
        </xdr:graphicFrame>
      </mc:Choice>
      <mc:Fallback>
        <xdr:sp macro="" textlink="">
          <xdr:nvSpPr>
            <xdr:cNvPr id="0" name=""/>
            <xdr:cNvSpPr>
              <a:spLocks noTextEdit="1"/>
            </xdr:cNvSpPr>
          </xdr:nvSpPr>
          <xdr:spPr>
            <a:xfrm>
              <a:off x="9524" y="7850775"/>
              <a:ext cx="1638301"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62325</xdr:rowOff>
    </xdr:from>
    <xdr:to>
      <xdr:col>1</xdr:col>
      <xdr:colOff>9524</xdr:colOff>
      <xdr:row>41</xdr:row>
      <xdr:rowOff>62325</xdr:rowOff>
    </xdr:to>
    <mc:AlternateContent xmlns:mc="http://schemas.openxmlformats.org/markup-compatibility/2006">
      <mc:Choice xmlns:a14="http://schemas.microsoft.com/office/drawing/2010/main" Requires="a14">
        <xdr:graphicFrame macro="">
          <xdr:nvGraphicFramePr>
            <xdr:cNvPr id="16" name="service 7">
              <a:extLst>
                <a:ext uri="{FF2B5EF4-FFF2-40B4-BE49-F238E27FC236}">
                  <a16:creationId xmlns:a16="http://schemas.microsoft.com/office/drawing/2014/main" id="{8297F7BE-4E38-40FD-87E2-6BB82D55973D}"/>
                </a:ext>
              </a:extLst>
            </xdr:cNvPr>
            <xdr:cNvGraphicFramePr/>
          </xdr:nvGraphicFramePr>
          <xdr:xfrm>
            <a:off x="0" y="0"/>
            <a:ext cx="0" cy="0"/>
          </xdr:xfrm>
          <a:graphic>
            <a:graphicData uri="http://schemas.microsoft.com/office/drawing/2010/slicer">
              <sle:slicer xmlns:sle="http://schemas.microsoft.com/office/drawing/2010/slicer" name="service 7"/>
            </a:graphicData>
          </a:graphic>
        </xdr:graphicFrame>
      </mc:Choice>
      <mc:Fallback>
        <xdr:sp macro="" textlink="">
          <xdr:nvSpPr>
            <xdr:cNvPr id="0" name=""/>
            <xdr:cNvSpPr>
              <a:spLocks noTextEdit="1"/>
            </xdr:cNvSpPr>
          </xdr:nvSpPr>
          <xdr:spPr>
            <a:xfrm>
              <a:off x="0" y="5205825"/>
              <a:ext cx="164782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409429</xdr:colOff>
      <xdr:row>11</xdr:row>
      <xdr:rowOff>104775</xdr:rowOff>
    </xdr:from>
    <xdr:to>
      <xdr:col>0</xdr:col>
      <xdr:colOff>1190772</xdr:colOff>
      <xdr:row>15</xdr:row>
      <xdr:rowOff>95250</xdr:rowOff>
    </xdr:to>
    <xdr:pic>
      <xdr:nvPicPr>
        <xdr:cNvPr id="17" name="Graphic 16" descr="Employee badge with solid fill">
          <a:hlinkClick xmlns:r="http://schemas.openxmlformats.org/officeDocument/2006/relationships" r:id="rId1" tooltip="Move to &quot;staff&quot; table"/>
          <a:extLst>
            <a:ext uri="{FF2B5EF4-FFF2-40B4-BE49-F238E27FC236}">
              <a16:creationId xmlns:a16="http://schemas.microsoft.com/office/drawing/2014/main" id="{BBF3B1D3-C59A-495E-BA1F-079C72F6C30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09429" y="2200275"/>
          <a:ext cx="781343" cy="752475"/>
        </a:xfrm>
        <a:prstGeom prst="rect">
          <a:avLst/>
        </a:prstGeom>
      </xdr:spPr>
    </xdr:pic>
    <xdr:clientData/>
  </xdr:twoCellAnchor>
  <xdr:twoCellAnchor>
    <xdr:from>
      <xdr:col>0</xdr:col>
      <xdr:colOff>469949</xdr:colOff>
      <xdr:row>20</xdr:row>
      <xdr:rowOff>84249</xdr:rowOff>
    </xdr:from>
    <xdr:to>
      <xdr:col>0</xdr:col>
      <xdr:colOff>1130251</xdr:colOff>
      <xdr:row>23</xdr:row>
      <xdr:rowOff>187732</xdr:rowOff>
    </xdr:to>
    <xdr:pic>
      <xdr:nvPicPr>
        <xdr:cNvPr id="18" name="Graphic 17" descr="Sleep with solid fill">
          <a:hlinkClick xmlns:r="http://schemas.openxmlformats.org/officeDocument/2006/relationships" r:id="rId4" tooltip="Move to &quot;services_weekly&quot; table"/>
          <a:extLst>
            <a:ext uri="{FF2B5EF4-FFF2-40B4-BE49-F238E27FC236}">
              <a16:creationId xmlns:a16="http://schemas.microsoft.com/office/drawing/2014/main" id="{EEC2F35F-BFE7-47DB-8E0C-ABAB8B4ADAA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9949" y="3894249"/>
          <a:ext cx="660302" cy="674983"/>
        </a:xfrm>
        <a:prstGeom prst="rect">
          <a:avLst/>
        </a:prstGeom>
      </xdr:spPr>
    </xdr:pic>
    <xdr:clientData/>
  </xdr:twoCellAnchor>
  <xdr:twoCellAnchor>
    <xdr:from>
      <xdr:col>0</xdr:col>
      <xdr:colOff>496551</xdr:colOff>
      <xdr:row>16</xdr:row>
      <xdr:rowOff>66503</xdr:rowOff>
    </xdr:from>
    <xdr:to>
      <xdr:col>0</xdr:col>
      <xdr:colOff>1123951</xdr:colOff>
      <xdr:row>19</xdr:row>
      <xdr:rowOff>143434</xdr:rowOff>
    </xdr:to>
    <xdr:pic>
      <xdr:nvPicPr>
        <xdr:cNvPr id="19" name="Graphic 18" descr="Stethoscope with solid fill">
          <a:hlinkClick xmlns:r="http://schemas.openxmlformats.org/officeDocument/2006/relationships" r:id="rId7" tooltip="Move to &quot;patients&quot; table"/>
          <a:extLst>
            <a:ext uri="{FF2B5EF4-FFF2-40B4-BE49-F238E27FC236}">
              <a16:creationId xmlns:a16="http://schemas.microsoft.com/office/drawing/2014/main" id="{23A49E71-739D-4EAE-863A-E6430B53368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96551" y="3114503"/>
          <a:ext cx="627400" cy="648431"/>
        </a:xfrm>
        <a:prstGeom prst="rect">
          <a:avLst/>
        </a:prstGeom>
      </xdr:spPr>
    </xdr:pic>
    <xdr:clientData/>
  </xdr:twoCellAnchor>
  <xdr:twoCellAnchor>
    <xdr:from>
      <xdr:col>0</xdr:col>
      <xdr:colOff>454497</xdr:colOff>
      <xdr:row>3</xdr:row>
      <xdr:rowOff>0</xdr:rowOff>
    </xdr:from>
    <xdr:to>
      <xdr:col>0</xdr:col>
      <xdr:colOff>1145703</xdr:colOff>
      <xdr:row>6</xdr:row>
      <xdr:rowOff>142876</xdr:rowOff>
    </xdr:to>
    <xdr:pic>
      <xdr:nvPicPr>
        <xdr:cNvPr id="20" name="Graphic 19" descr="Presentation with bar chart with solid fill">
          <a:hlinkClick xmlns:r="http://schemas.openxmlformats.org/officeDocument/2006/relationships" r:id="rId10" tooltip="Move to &quot;dashboard&quot; table"/>
          <a:extLst>
            <a:ext uri="{FF2B5EF4-FFF2-40B4-BE49-F238E27FC236}">
              <a16:creationId xmlns:a16="http://schemas.microsoft.com/office/drawing/2014/main" id="{B43F1AF8-D7A9-4571-8766-04252A7B9CC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4497" y="571500"/>
          <a:ext cx="691206" cy="714376"/>
        </a:xfrm>
        <a:prstGeom prst="rect">
          <a:avLst/>
        </a:prstGeom>
      </xdr:spPr>
    </xdr:pic>
    <xdr:clientData/>
  </xdr:twoCellAnchor>
  <xdr:twoCellAnchor editAs="oneCell">
    <xdr:from>
      <xdr:col>0</xdr:col>
      <xdr:colOff>451784</xdr:colOff>
      <xdr:row>7</xdr:row>
      <xdr:rowOff>112993</xdr:rowOff>
    </xdr:from>
    <xdr:to>
      <xdr:col>0</xdr:col>
      <xdr:colOff>1148416</xdr:colOff>
      <xdr:row>11</xdr:row>
      <xdr:rowOff>47625</xdr:rowOff>
    </xdr:to>
    <xdr:pic>
      <xdr:nvPicPr>
        <xdr:cNvPr id="21" name="Graphic 20" descr="Bar chart with solid fill">
          <a:hlinkClick xmlns:r="http://schemas.openxmlformats.org/officeDocument/2006/relationships" r:id="rId13" tooltip="Move to &quot;specific_info&quot; table"/>
          <a:extLst>
            <a:ext uri="{FF2B5EF4-FFF2-40B4-BE49-F238E27FC236}">
              <a16:creationId xmlns:a16="http://schemas.microsoft.com/office/drawing/2014/main" id="{ADD60CB1-7ADE-49E0-9DF2-72FC07C0EBE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51784" y="1446493"/>
          <a:ext cx="696632" cy="696632"/>
        </a:xfrm>
        <a:prstGeom prst="rect">
          <a:avLst/>
        </a:prstGeom>
      </xdr:spPr>
    </xdr:pic>
    <xdr:clientData/>
  </xdr:twoCellAnchor>
  <xdr:twoCellAnchor>
    <xdr:from>
      <xdr:col>0</xdr:col>
      <xdr:colOff>0</xdr:colOff>
      <xdr:row>0</xdr:row>
      <xdr:rowOff>85725</xdr:rowOff>
    </xdr:from>
    <xdr:to>
      <xdr:col>1</xdr:col>
      <xdr:colOff>123825</xdr:colOff>
      <xdr:row>2</xdr:row>
      <xdr:rowOff>9525</xdr:rowOff>
    </xdr:to>
    <xdr:sp macro="" textlink="">
      <xdr:nvSpPr>
        <xdr:cNvPr id="22" name="TextBox 21">
          <a:extLst>
            <a:ext uri="{FF2B5EF4-FFF2-40B4-BE49-F238E27FC236}">
              <a16:creationId xmlns:a16="http://schemas.microsoft.com/office/drawing/2014/main" id="{9EE002F7-4D1B-48F3-9DEA-7141A8FF028D}"/>
            </a:ext>
          </a:extLst>
        </xdr:cNvPr>
        <xdr:cNvSpPr txBox="1"/>
      </xdr:nvSpPr>
      <xdr:spPr>
        <a:xfrm>
          <a:off x="0" y="85725"/>
          <a:ext cx="17621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100">
              <a:latin typeface="Segoe UI Semibold" panose="020B0702040204020203" pitchFamily="34" charset="0"/>
              <a:cs typeface="Segoe UI Semibold" panose="020B0702040204020203" pitchFamily="34" charset="0"/>
            </a:rPr>
            <a:t>Click to go to the table:</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0</xdr:col>
      <xdr:colOff>409575</xdr:colOff>
      <xdr:row>2</xdr:row>
      <xdr:rowOff>190499</xdr:rowOff>
    </xdr:from>
    <xdr:to>
      <xdr:col>0</xdr:col>
      <xdr:colOff>1190775</xdr:colOff>
      <xdr:row>6</xdr:row>
      <xdr:rowOff>134099</xdr:rowOff>
    </xdr:to>
    <xdr:sp macro="" textlink="">
      <xdr:nvSpPr>
        <xdr:cNvPr id="23" name="Rectangle 22">
          <a:extLst>
            <a:ext uri="{FF2B5EF4-FFF2-40B4-BE49-F238E27FC236}">
              <a16:creationId xmlns:a16="http://schemas.microsoft.com/office/drawing/2014/main" id="{18B3B74A-E3B0-4CBC-8505-23052F90F99E}"/>
            </a:ext>
          </a:extLst>
        </xdr:cNvPr>
        <xdr:cNvSpPr/>
      </xdr:nvSpPr>
      <xdr:spPr>
        <a:xfrm>
          <a:off x="409575" y="571499"/>
          <a:ext cx="781200" cy="70560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7</xdr:row>
      <xdr:rowOff>71999</xdr:rowOff>
    </xdr:from>
    <xdr:to>
      <xdr:col>0</xdr:col>
      <xdr:colOff>1190625</xdr:colOff>
      <xdr:row>11</xdr:row>
      <xdr:rowOff>14849</xdr:rowOff>
    </xdr:to>
    <xdr:sp macro="" textlink="">
      <xdr:nvSpPr>
        <xdr:cNvPr id="24" name="Rectangle 23">
          <a:extLst>
            <a:ext uri="{FF2B5EF4-FFF2-40B4-BE49-F238E27FC236}">
              <a16:creationId xmlns:a16="http://schemas.microsoft.com/office/drawing/2014/main" id="{D0764C7C-F1B4-46FE-8AB1-9B2D29C3C269}"/>
            </a:ext>
          </a:extLst>
        </xdr:cNvPr>
        <xdr:cNvSpPr/>
      </xdr:nvSpPr>
      <xdr:spPr>
        <a:xfrm>
          <a:off x="409575" y="140549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11</xdr:row>
      <xdr:rowOff>143249</xdr:rowOff>
    </xdr:from>
    <xdr:to>
      <xdr:col>0</xdr:col>
      <xdr:colOff>1190625</xdr:colOff>
      <xdr:row>15</xdr:row>
      <xdr:rowOff>86099</xdr:rowOff>
    </xdr:to>
    <xdr:sp macro="" textlink="">
      <xdr:nvSpPr>
        <xdr:cNvPr id="25" name="Rectangle 24">
          <a:extLst>
            <a:ext uri="{FF2B5EF4-FFF2-40B4-BE49-F238E27FC236}">
              <a16:creationId xmlns:a16="http://schemas.microsoft.com/office/drawing/2014/main" id="{F90FEA45-1E55-4181-BE08-21AEFDC77088}"/>
            </a:ext>
          </a:extLst>
        </xdr:cNvPr>
        <xdr:cNvSpPr/>
      </xdr:nvSpPr>
      <xdr:spPr>
        <a:xfrm>
          <a:off x="409575" y="223874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16</xdr:row>
      <xdr:rowOff>23999</xdr:rowOff>
    </xdr:from>
    <xdr:to>
      <xdr:col>0</xdr:col>
      <xdr:colOff>1190625</xdr:colOff>
      <xdr:row>19</xdr:row>
      <xdr:rowOff>157349</xdr:rowOff>
    </xdr:to>
    <xdr:sp macro="" textlink="">
      <xdr:nvSpPr>
        <xdr:cNvPr id="26" name="Rectangle 25">
          <a:extLst>
            <a:ext uri="{FF2B5EF4-FFF2-40B4-BE49-F238E27FC236}">
              <a16:creationId xmlns:a16="http://schemas.microsoft.com/office/drawing/2014/main" id="{9824B996-0DEF-49BE-A4C0-21257949315A}"/>
            </a:ext>
          </a:extLst>
        </xdr:cNvPr>
        <xdr:cNvSpPr/>
      </xdr:nvSpPr>
      <xdr:spPr>
        <a:xfrm>
          <a:off x="409575" y="307199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20</xdr:row>
      <xdr:rowOff>95250</xdr:rowOff>
    </xdr:from>
    <xdr:to>
      <xdr:col>0</xdr:col>
      <xdr:colOff>1190625</xdr:colOff>
      <xdr:row>24</xdr:row>
      <xdr:rowOff>38100</xdr:rowOff>
    </xdr:to>
    <xdr:sp macro="" textlink="">
      <xdr:nvSpPr>
        <xdr:cNvPr id="27" name="Rectangle 26">
          <a:extLst>
            <a:ext uri="{FF2B5EF4-FFF2-40B4-BE49-F238E27FC236}">
              <a16:creationId xmlns:a16="http://schemas.microsoft.com/office/drawing/2014/main" id="{31D2427A-DFAB-4ED8-B2A2-D0ED4F8E055F}"/>
            </a:ext>
          </a:extLst>
        </xdr:cNvPr>
        <xdr:cNvSpPr/>
      </xdr:nvSpPr>
      <xdr:spPr>
        <a:xfrm>
          <a:off x="409575" y="3905250"/>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9524</xdr:colOff>
      <xdr:row>41</xdr:row>
      <xdr:rowOff>40275</xdr:rowOff>
    </xdr:from>
    <xdr:to>
      <xdr:col>1</xdr:col>
      <xdr:colOff>9525</xdr:colOff>
      <xdr:row>55</xdr:row>
      <xdr:rowOff>40275</xdr:rowOff>
    </xdr:to>
    <mc:AlternateContent xmlns:mc="http://schemas.openxmlformats.org/markup-compatibility/2006">
      <mc:Choice xmlns:a14="http://schemas.microsoft.com/office/drawing/2010/main" Requires="a14">
        <xdr:graphicFrame macro="">
          <xdr:nvGraphicFramePr>
            <xdr:cNvPr id="10" name="age_group 5">
              <a:extLst>
                <a:ext uri="{FF2B5EF4-FFF2-40B4-BE49-F238E27FC236}">
                  <a16:creationId xmlns:a16="http://schemas.microsoft.com/office/drawing/2014/main" id="{E9B36072-2958-403F-AD0F-A5B3650B5B88}"/>
                </a:ext>
              </a:extLst>
            </xdr:cNvPr>
            <xdr:cNvGraphicFramePr/>
          </xdr:nvGraphicFramePr>
          <xdr:xfrm>
            <a:off x="0" y="0"/>
            <a:ext cx="0" cy="0"/>
          </xdr:xfrm>
          <a:graphic>
            <a:graphicData uri="http://schemas.microsoft.com/office/drawing/2010/slicer">
              <sle:slicer xmlns:sle="http://schemas.microsoft.com/office/drawing/2010/slicer" name="age_group 5"/>
            </a:graphicData>
          </a:graphic>
        </xdr:graphicFrame>
      </mc:Choice>
      <mc:Fallback>
        <xdr:sp macro="" textlink="">
          <xdr:nvSpPr>
            <xdr:cNvPr id="0" name=""/>
            <xdr:cNvSpPr>
              <a:spLocks noTextEdit="1"/>
            </xdr:cNvSpPr>
          </xdr:nvSpPr>
          <xdr:spPr>
            <a:xfrm>
              <a:off x="9524" y="7850775"/>
              <a:ext cx="1638301"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62325</xdr:rowOff>
    </xdr:from>
    <xdr:to>
      <xdr:col>1</xdr:col>
      <xdr:colOff>9524</xdr:colOff>
      <xdr:row>41</xdr:row>
      <xdr:rowOff>62325</xdr:rowOff>
    </xdr:to>
    <mc:AlternateContent xmlns:mc="http://schemas.openxmlformats.org/markup-compatibility/2006">
      <mc:Choice xmlns:a14="http://schemas.microsoft.com/office/drawing/2010/main" Requires="a14">
        <xdr:graphicFrame macro="">
          <xdr:nvGraphicFramePr>
            <xdr:cNvPr id="11" name="service 6">
              <a:extLst>
                <a:ext uri="{FF2B5EF4-FFF2-40B4-BE49-F238E27FC236}">
                  <a16:creationId xmlns:a16="http://schemas.microsoft.com/office/drawing/2014/main" id="{7A57AE11-F3CC-49B8-BF87-42BF3D7E5C92}"/>
                </a:ext>
              </a:extLst>
            </xdr:cNvPr>
            <xdr:cNvGraphicFramePr/>
          </xdr:nvGraphicFramePr>
          <xdr:xfrm>
            <a:off x="0" y="0"/>
            <a:ext cx="0" cy="0"/>
          </xdr:xfrm>
          <a:graphic>
            <a:graphicData uri="http://schemas.microsoft.com/office/drawing/2010/slicer">
              <sle:slicer xmlns:sle="http://schemas.microsoft.com/office/drawing/2010/slicer" name="service 6"/>
            </a:graphicData>
          </a:graphic>
        </xdr:graphicFrame>
      </mc:Choice>
      <mc:Fallback>
        <xdr:sp macro="" textlink="">
          <xdr:nvSpPr>
            <xdr:cNvPr id="0" name=""/>
            <xdr:cNvSpPr>
              <a:spLocks noTextEdit="1"/>
            </xdr:cNvSpPr>
          </xdr:nvSpPr>
          <xdr:spPr>
            <a:xfrm>
              <a:off x="0" y="5205825"/>
              <a:ext cx="164782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409429</xdr:colOff>
      <xdr:row>11</xdr:row>
      <xdr:rowOff>104775</xdr:rowOff>
    </xdr:from>
    <xdr:to>
      <xdr:col>0</xdr:col>
      <xdr:colOff>1190772</xdr:colOff>
      <xdr:row>15</xdr:row>
      <xdr:rowOff>95250</xdr:rowOff>
    </xdr:to>
    <xdr:pic>
      <xdr:nvPicPr>
        <xdr:cNvPr id="12" name="Graphic 11" descr="Employee badge with solid fill">
          <a:hlinkClick xmlns:r="http://schemas.openxmlformats.org/officeDocument/2006/relationships" r:id="rId1" tooltip="Move to &quot;staff&quot; table"/>
          <a:extLst>
            <a:ext uri="{FF2B5EF4-FFF2-40B4-BE49-F238E27FC236}">
              <a16:creationId xmlns:a16="http://schemas.microsoft.com/office/drawing/2014/main" id="{0F08D614-9845-4109-9A4D-2DCF33B96FE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09429" y="2200275"/>
          <a:ext cx="781343" cy="752475"/>
        </a:xfrm>
        <a:prstGeom prst="rect">
          <a:avLst/>
        </a:prstGeom>
      </xdr:spPr>
    </xdr:pic>
    <xdr:clientData/>
  </xdr:twoCellAnchor>
  <xdr:twoCellAnchor>
    <xdr:from>
      <xdr:col>0</xdr:col>
      <xdr:colOff>469949</xdr:colOff>
      <xdr:row>20</xdr:row>
      <xdr:rowOff>84249</xdr:rowOff>
    </xdr:from>
    <xdr:to>
      <xdr:col>0</xdr:col>
      <xdr:colOff>1130251</xdr:colOff>
      <xdr:row>23</xdr:row>
      <xdr:rowOff>187732</xdr:rowOff>
    </xdr:to>
    <xdr:pic>
      <xdr:nvPicPr>
        <xdr:cNvPr id="13" name="Graphic 12" descr="Sleep with solid fill">
          <a:hlinkClick xmlns:r="http://schemas.openxmlformats.org/officeDocument/2006/relationships" r:id="rId4" tooltip="Move to &quot;services_weekly&quot; table"/>
          <a:extLst>
            <a:ext uri="{FF2B5EF4-FFF2-40B4-BE49-F238E27FC236}">
              <a16:creationId xmlns:a16="http://schemas.microsoft.com/office/drawing/2014/main" id="{401AC620-7C64-4B04-9F3E-6AEE36D0C19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9949" y="3894249"/>
          <a:ext cx="660302" cy="674983"/>
        </a:xfrm>
        <a:prstGeom prst="rect">
          <a:avLst/>
        </a:prstGeom>
      </xdr:spPr>
    </xdr:pic>
    <xdr:clientData/>
  </xdr:twoCellAnchor>
  <xdr:twoCellAnchor>
    <xdr:from>
      <xdr:col>0</xdr:col>
      <xdr:colOff>496551</xdr:colOff>
      <xdr:row>16</xdr:row>
      <xdr:rowOff>66503</xdr:rowOff>
    </xdr:from>
    <xdr:to>
      <xdr:col>0</xdr:col>
      <xdr:colOff>1123951</xdr:colOff>
      <xdr:row>19</xdr:row>
      <xdr:rowOff>143434</xdr:rowOff>
    </xdr:to>
    <xdr:pic>
      <xdr:nvPicPr>
        <xdr:cNvPr id="14" name="Graphic 13" descr="Stethoscope with solid fill">
          <a:hlinkClick xmlns:r="http://schemas.openxmlformats.org/officeDocument/2006/relationships" r:id="rId7" tooltip="Move to &quot;patients&quot; table"/>
          <a:extLst>
            <a:ext uri="{FF2B5EF4-FFF2-40B4-BE49-F238E27FC236}">
              <a16:creationId xmlns:a16="http://schemas.microsoft.com/office/drawing/2014/main" id="{AA58CBC2-5A33-43F4-8090-07F48525E9F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96551" y="3114503"/>
          <a:ext cx="627400" cy="648431"/>
        </a:xfrm>
        <a:prstGeom prst="rect">
          <a:avLst/>
        </a:prstGeom>
      </xdr:spPr>
    </xdr:pic>
    <xdr:clientData/>
  </xdr:twoCellAnchor>
  <xdr:twoCellAnchor>
    <xdr:from>
      <xdr:col>0</xdr:col>
      <xdr:colOff>454497</xdr:colOff>
      <xdr:row>3</xdr:row>
      <xdr:rowOff>0</xdr:rowOff>
    </xdr:from>
    <xdr:to>
      <xdr:col>0</xdr:col>
      <xdr:colOff>1145703</xdr:colOff>
      <xdr:row>6</xdr:row>
      <xdr:rowOff>142876</xdr:rowOff>
    </xdr:to>
    <xdr:pic>
      <xdr:nvPicPr>
        <xdr:cNvPr id="15" name="Graphic 14" descr="Presentation with bar chart with solid fill">
          <a:hlinkClick xmlns:r="http://schemas.openxmlformats.org/officeDocument/2006/relationships" r:id="rId10" tooltip="Move to &quot;dashboard&quot; table"/>
          <a:extLst>
            <a:ext uri="{FF2B5EF4-FFF2-40B4-BE49-F238E27FC236}">
              <a16:creationId xmlns:a16="http://schemas.microsoft.com/office/drawing/2014/main" id="{FEDBDEC4-85C9-4B98-AF82-EEF8903B3C3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4497" y="571500"/>
          <a:ext cx="691206" cy="714376"/>
        </a:xfrm>
        <a:prstGeom prst="rect">
          <a:avLst/>
        </a:prstGeom>
      </xdr:spPr>
    </xdr:pic>
    <xdr:clientData/>
  </xdr:twoCellAnchor>
  <xdr:twoCellAnchor editAs="oneCell">
    <xdr:from>
      <xdr:col>0</xdr:col>
      <xdr:colOff>451784</xdr:colOff>
      <xdr:row>7</xdr:row>
      <xdr:rowOff>112993</xdr:rowOff>
    </xdr:from>
    <xdr:to>
      <xdr:col>0</xdr:col>
      <xdr:colOff>1148416</xdr:colOff>
      <xdr:row>11</xdr:row>
      <xdr:rowOff>47625</xdr:rowOff>
    </xdr:to>
    <xdr:pic>
      <xdr:nvPicPr>
        <xdr:cNvPr id="21" name="Graphic 20" descr="Bar chart with solid fill">
          <a:hlinkClick xmlns:r="http://schemas.openxmlformats.org/officeDocument/2006/relationships" r:id="rId13" tooltip="Move to &quot;specific_info&quot; table"/>
          <a:extLst>
            <a:ext uri="{FF2B5EF4-FFF2-40B4-BE49-F238E27FC236}">
              <a16:creationId xmlns:a16="http://schemas.microsoft.com/office/drawing/2014/main" id="{16F89CD9-B8AE-4B54-A703-A4E46B0BB53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51784" y="1446493"/>
          <a:ext cx="696632" cy="696632"/>
        </a:xfrm>
        <a:prstGeom prst="rect">
          <a:avLst/>
        </a:prstGeom>
      </xdr:spPr>
    </xdr:pic>
    <xdr:clientData/>
  </xdr:twoCellAnchor>
  <xdr:twoCellAnchor>
    <xdr:from>
      <xdr:col>0</xdr:col>
      <xdr:colOff>0</xdr:colOff>
      <xdr:row>0</xdr:row>
      <xdr:rowOff>85725</xdr:rowOff>
    </xdr:from>
    <xdr:to>
      <xdr:col>1</xdr:col>
      <xdr:colOff>123825</xdr:colOff>
      <xdr:row>2</xdr:row>
      <xdr:rowOff>9525</xdr:rowOff>
    </xdr:to>
    <xdr:sp macro="" textlink="">
      <xdr:nvSpPr>
        <xdr:cNvPr id="22" name="TextBox 21">
          <a:extLst>
            <a:ext uri="{FF2B5EF4-FFF2-40B4-BE49-F238E27FC236}">
              <a16:creationId xmlns:a16="http://schemas.microsoft.com/office/drawing/2014/main" id="{B22EC265-9EDC-4F79-894E-E063AD01C5B7}"/>
            </a:ext>
          </a:extLst>
        </xdr:cNvPr>
        <xdr:cNvSpPr txBox="1"/>
      </xdr:nvSpPr>
      <xdr:spPr>
        <a:xfrm>
          <a:off x="0" y="85725"/>
          <a:ext cx="17621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100">
              <a:latin typeface="Segoe UI Semibold" panose="020B0702040204020203" pitchFamily="34" charset="0"/>
              <a:cs typeface="Segoe UI Semibold" panose="020B0702040204020203" pitchFamily="34" charset="0"/>
            </a:rPr>
            <a:t>Click to go to the table:</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0</xdr:col>
      <xdr:colOff>409575</xdr:colOff>
      <xdr:row>2</xdr:row>
      <xdr:rowOff>190499</xdr:rowOff>
    </xdr:from>
    <xdr:to>
      <xdr:col>0</xdr:col>
      <xdr:colOff>1190775</xdr:colOff>
      <xdr:row>6</xdr:row>
      <xdr:rowOff>134099</xdr:rowOff>
    </xdr:to>
    <xdr:sp macro="" textlink="">
      <xdr:nvSpPr>
        <xdr:cNvPr id="23" name="Rectangle 22">
          <a:extLst>
            <a:ext uri="{FF2B5EF4-FFF2-40B4-BE49-F238E27FC236}">
              <a16:creationId xmlns:a16="http://schemas.microsoft.com/office/drawing/2014/main" id="{9FAA969F-8454-428E-B978-28CFCE14484D}"/>
            </a:ext>
          </a:extLst>
        </xdr:cNvPr>
        <xdr:cNvSpPr/>
      </xdr:nvSpPr>
      <xdr:spPr>
        <a:xfrm>
          <a:off x="409575" y="571499"/>
          <a:ext cx="781200" cy="70560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7</xdr:row>
      <xdr:rowOff>71999</xdr:rowOff>
    </xdr:from>
    <xdr:to>
      <xdr:col>0</xdr:col>
      <xdr:colOff>1190625</xdr:colOff>
      <xdr:row>11</xdr:row>
      <xdr:rowOff>14849</xdr:rowOff>
    </xdr:to>
    <xdr:sp macro="" textlink="">
      <xdr:nvSpPr>
        <xdr:cNvPr id="24" name="Rectangle 23">
          <a:extLst>
            <a:ext uri="{FF2B5EF4-FFF2-40B4-BE49-F238E27FC236}">
              <a16:creationId xmlns:a16="http://schemas.microsoft.com/office/drawing/2014/main" id="{49AA4B5A-547C-4E5A-ADA0-034EE77590A8}"/>
            </a:ext>
          </a:extLst>
        </xdr:cNvPr>
        <xdr:cNvSpPr/>
      </xdr:nvSpPr>
      <xdr:spPr>
        <a:xfrm>
          <a:off x="409575" y="140549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11</xdr:row>
      <xdr:rowOff>143249</xdr:rowOff>
    </xdr:from>
    <xdr:to>
      <xdr:col>0</xdr:col>
      <xdr:colOff>1190625</xdr:colOff>
      <xdr:row>15</xdr:row>
      <xdr:rowOff>86099</xdr:rowOff>
    </xdr:to>
    <xdr:sp macro="" textlink="">
      <xdr:nvSpPr>
        <xdr:cNvPr id="25" name="Rectangle 24">
          <a:extLst>
            <a:ext uri="{FF2B5EF4-FFF2-40B4-BE49-F238E27FC236}">
              <a16:creationId xmlns:a16="http://schemas.microsoft.com/office/drawing/2014/main" id="{BD0A23C7-C3DA-4BC0-95D5-A74B25C6620A}"/>
            </a:ext>
          </a:extLst>
        </xdr:cNvPr>
        <xdr:cNvSpPr/>
      </xdr:nvSpPr>
      <xdr:spPr>
        <a:xfrm>
          <a:off x="409575" y="223874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16</xdr:row>
      <xdr:rowOff>23999</xdr:rowOff>
    </xdr:from>
    <xdr:to>
      <xdr:col>0</xdr:col>
      <xdr:colOff>1190625</xdr:colOff>
      <xdr:row>19</xdr:row>
      <xdr:rowOff>157349</xdr:rowOff>
    </xdr:to>
    <xdr:sp macro="" textlink="">
      <xdr:nvSpPr>
        <xdr:cNvPr id="26" name="Rectangle 25">
          <a:extLst>
            <a:ext uri="{FF2B5EF4-FFF2-40B4-BE49-F238E27FC236}">
              <a16:creationId xmlns:a16="http://schemas.microsoft.com/office/drawing/2014/main" id="{E0B3420C-85DB-4A18-8519-FBFCE374819C}"/>
            </a:ext>
          </a:extLst>
        </xdr:cNvPr>
        <xdr:cNvSpPr/>
      </xdr:nvSpPr>
      <xdr:spPr>
        <a:xfrm>
          <a:off x="409575" y="307199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20</xdr:row>
      <xdr:rowOff>95250</xdr:rowOff>
    </xdr:from>
    <xdr:to>
      <xdr:col>0</xdr:col>
      <xdr:colOff>1190625</xdr:colOff>
      <xdr:row>24</xdr:row>
      <xdr:rowOff>38100</xdr:rowOff>
    </xdr:to>
    <xdr:sp macro="" textlink="">
      <xdr:nvSpPr>
        <xdr:cNvPr id="27" name="Rectangle 26">
          <a:extLst>
            <a:ext uri="{FF2B5EF4-FFF2-40B4-BE49-F238E27FC236}">
              <a16:creationId xmlns:a16="http://schemas.microsoft.com/office/drawing/2014/main" id="{9F05210B-9695-4D0C-9E9E-535DB0853382}"/>
            </a:ext>
          </a:extLst>
        </xdr:cNvPr>
        <xdr:cNvSpPr/>
      </xdr:nvSpPr>
      <xdr:spPr>
        <a:xfrm>
          <a:off x="409575" y="3905250"/>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9524</xdr:colOff>
      <xdr:row>41</xdr:row>
      <xdr:rowOff>40275</xdr:rowOff>
    </xdr:from>
    <xdr:to>
      <xdr:col>1</xdr:col>
      <xdr:colOff>9525</xdr:colOff>
      <xdr:row>55</xdr:row>
      <xdr:rowOff>40275</xdr:rowOff>
    </xdr:to>
    <mc:AlternateContent xmlns:mc="http://schemas.openxmlformats.org/markup-compatibility/2006">
      <mc:Choice xmlns:a14="http://schemas.microsoft.com/office/drawing/2010/main" Requires="a14">
        <xdr:graphicFrame macro="">
          <xdr:nvGraphicFramePr>
            <xdr:cNvPr id="25" name="age_group 4">
              <a:extLst>
                <a:ext uri="{FF2B5EF4-FFF2-40B4-BE49-F238E27FC236}">
                  <a16:creationId xmlns:a16="http://schemas.microsoft.com/office/drawing/2014/main" id="{E3D43598-B04E-4870-9E25-37170B34CCDC}"/>
                </a:ext>
              </a:extLst>
            </xdr:cNvPr>
            <xdr:cNvGraphicFramePr/>
          </xdr:nvGraphicFramePr>
          <xdr:xfrm>
            <a:off x="0" y="0"/>
            <a:ext cx="0" cy="0"/>
          </xdr:xfrm>
          <a:graphic>
            <a:graphicData uri="http://schemas.microsoft.com/office/drawing/2010/slicer">
              <sle:slicer xmlns:sle="http://schemas.microsoft.com/office/drawing/2010/slicer" name="age_group 4"/>
            </a:graphicData>
          </a:graphic>
        </xdr:graphicFrame>
      </mc:Choice>
      <mc:Fallback>
        <xdr:sp macro="" textlink="">
          <xdr:nvSpPr>
            <xdr:cNvPr id="0" name=""/>
            <xdr:cNvSpPr>
              <a:spLocks noTextEdit="1"/>
            </xdr:cNvSpPr>
          </xdr:nvSpPr>
          <xdr:spPr>
            <a:xfrm>
              <a:off x="9524" y="7850775"/>
              <a:ext cx="1638301"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62325</xdr:rowOff>
    </xdr:from>
    <xdr:to>
      <xdr:col>1</xdr:col>
      <xdr:colOff>9524</xdr:colOff>
      <xdr:row>41</xdr:row>
      <xdr:rowOff>62325</xdr:rowOff>
    </xdr:to>
    <mc:AlternateContent xmlns:mc="http://schemas.openxmlformats.org/markup-compatibility/2006">
      <mc:Choice xmlns:a14="http://schemas.microsoft.com/office/drawing/2010/main" Requires="a14">
        <xdr:graphicFrame macro="">
          <xdr:nvGraphicFramePr>
            <xdr:cNvPr id="26" name="service 5">
              <a:extLst>
                <a:ext uri="{FF2B5EF4-FFF2-40B4-BE49-F238E27FC236}">
                  <a16:creationId xmlns:a16="http://schemas.microsoft.com/office/drawing/2014/main" id="{79FD9CF3-4B36-488A-8AF5-D7F2EB3B4C77}"/>
                </a:ext>
              </a:extLst>
            </xdr:cNvPr>
            <xdr:cNvGraphicFramePr/>
          </xdr:nvGraphicFramePr>
          <xdr:xfrm>
            <a:off x="0" y="0"/>
            <a:ext cx="0" cy="0"/>
          </xdr:xfrm>
          <a:graphic>
            <a:graphicData uri="http://schemas.microsoft.com/office/drawing/2010/slicer">
              <sle:slicer xmlns:sle="http://schemas.microsoft.com/office/drawing/2010/slicer" name="service 5"/>
            </a:graphicData>
          </a:graphic>
        </xdr:graphicFrame>
      </mc:Choice>
      <mc:Fallback>
        <xdr:sp macro="" textlink="">
          <xdr:nvSpPr>
            <xdr:cNvPr id="0" name=""/>
            <xdr:cNvSpPr>
              <a:spLocks noTextEdit="1"/>
            </xdr:cNvSpPr>
          </xdr:nvSpPr>
          <xdr:spPr>
            <a:xfrm>
              <a:off x="0" y="5205825"/>
              <a:ext cx="164782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409429</xdr:colOff>
      <xdr:row>11</xdr:row>
      <xdr:rowOff>104775</xdr:rowOff>
    </xdr:from>
    <xdr:to>
      <xdr:col>0</xdr:col>
      <xdr:colOff>1190772</xdr:colOff>
      <xdr:row>15</xdr:row>
      <xdr:rowOff>95250</xdr:rowOff>
    </xdr:to>
    <xdr:pic>
      <xdr:nvPicPr>
        <xdr:cNvPr id="27" name="Graphic 26" descr="Employee badge with solid fill">
          <a:hlinkClick xmlns:r="http://schemas.openxmlformats.org/officeDocument/2006/relationships" r:id="rId1" tooltip="Move to &quot;staff&quot; table"/>
          <a:extLst>
            <a:ext uri="{FF2B5EF4-FFF2-40B4-BE49-F238E27FC236}">
              <a16:creationId xmlns:a16="http://schemas.microsoft.com/office/drawing/2014/main" id="{457D77B8-9B9F-4644-B554-B184C76C336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09429" y="2200275"/>
          <a:ext cx="781343" cy="752475"/>
        </a:xfrm>
        <a:prstGeom prst="rect">
          <a:avLst/>
        </a:prstGeom>
      </xdr:spPr>
    </xdr:pic>
    <xdr:clientData/>
  </xdr:twoCellAnchor>
  <xdr:twoCellAnchor>
    <xdr:from>
      <xdr:col>0</xdr:col>
      <xdr:colOff>469949</xdr:colOff>
      <xdr:row>20</xdr:row>
      <xdr:rowOff>84249</xdr:rowOff>
    </xdr:from>
    <xdr:to>
      <xdr:col>0</xdr:col>
      <xdr:colOff>1130251</xdr:colOff>
      <xdr:row>23</xdr:row>
      <xdr:rowOff>187732</xdr:rowOff>
    </xdr:to>
    <xdr:pic>
      <xdr:nvPicPr>
        <xdr:cNvPr id="28" name="Graphic 27" descr="Sleep with solid fill">
          <a:hlinkClick xmlns:r="http://schemas.openxmlformats.org/officeDocument/2006/relationships" r:id="rId4" tooltip="Move to &quot;services_weekly&quot; table"/>
          <a:extLst>
            <a:ext uri="{FF2B5EF4-FFF2-40B4-BE49-F238E27FC236}">
              <a16:creationId xmlns:a16="http://schemas.microsoft.com/office/drawing/2014/main" id="{F46E881D-C979-4FBB-8942-A2FDDF94C48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9949" y="3894249"/>
          <a:ext cx="660302" cy="674983"/>
        </a:xfrm>
        <a:prstGeom prst="rect">
          <a:avLst/>
        </a:prstGeom>
      </xdr:spPr>
    </xdr:pic>
    <xdr:clientData/>
  </xdr:twoCellAnchor>
  <xdr:twoCellAnchor>
    <xdr:from>
      <xdr:col>0</xdr:col>
      <xdr:colOff>496551</xdr:colOff>
      <xdr:row>16</xdr:row>
      <xdr:rowOff>66503</xdr:rowOff>
    </xdr:from>
    <xdr:to>
      <xdr:col>0</xdr:col>
      <xdr:colOff>1123951</xdr:colOff>
      <xdr:row>19</xdr:row>
      <xdr:rowOff>143434</xdr:rowOff>
    </xdr:to>
    <xdr:pic>
      <xdr:nvPicPr>
        <xdr:cNvPr id="29" name="Graphic 28" descr="Stethoscope with solid fill">
          <a:hlinkClick xmlns:r="http://schemas.openxmlformats.org/officeDocument/2006/relationships" r:id="rId7" tooltip="Move to &quot;patients&quot; table"/>
          <a:extLst>
            <a:ext uri="{FF2B5EF4-FFF2-40B4-BE49-F238E27FC236}">
              <a16:creationId xmlns:a16="http://schemas.microsoft.com/office/drawing/2014/main" id="{81CC9F4E-C198-433E-8DB1-651141343E7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96551" y="3114503"/>
          <a:ext cx="627400" cy="648431"/>
        </a:xfrm>
        <a:prstGeom prst="rect">
          <a:avLst/>
        </a:prstGeom>
      </xdr:spPr>
    </xdr:pic>
    <xdr:clientData/>
  </xdr:twoCellAnchor>
  <xdr:twoCellAnchor>
    <xdr:from>
      <xdr:col>0</xdr:col>
      <xdr:colOff>454497</xdr:colOff>
      <xdr:row>3</xdr:row>
      <xdr:rowOff>0</xdr:rowOff>
    </xdr:from>
    <xdr:to>
      <xdr:col>0</xdr:col>
      <xdr:colOff>1145703</xdr:colOff>
      <xdr:row>6</xdr:row>
      <xdr:rowOff>142876</xdr:rowOff>
    </xdr:to>
    <xdr:pic>
      <xdr:nvPicPr>
        <xdr:cNvPr id="30" name="Graphic 29" descr="Presentation with bar chart with solid fill">
          <a:hlinkClick xmlns:r="http://schemas.openxmlformats.org/officeDocument/2006/relationships" r:id="rId10" tooltip="Move to &quot;dashboard&quot; table"/>
          <a:extLst>
            <a:ext uri="{FF2B5EF4-FFF2-40B4-BE49-F238E27FC236}">
              <a16:creationId xmlns:a16="http://schemas.microsoft.com/office/drawing/2014/main" id="{2088C5D0-0145-4A57-92BD-A3E1A153595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4497" y="571500"/>
          <a:ext cx="691206" cy="714376"/>
        </a:xfrm>
        <a:prstGeom prst="rect">
          <a:avLst/>
        </a:prstGeom>
      </xdr:spPr>
    </xdr:pic>
    <xdr:clientData/>
  </xdr:twoCellAnchor>
  <xdr:twoCellAnchor editAs="oneCell">
    <xdr:from>
      <xdr:col>0</xdr:col>
      <xdr:colOff>451784</xdr:colOff>
      <xdr:row>7</xdr:row>
      <xdr:rowOff>112993</xdr:rowOff>
    </xdr:from>
    <xdr:to>
      <xdr:col>0</xdr:col>
      <xdr:colOff>1148416</xdr:colOff>
      <xdr:row>11</xdr:row>
      <xdr:rowOff>47625</xdr:rowOff>
    </xdr:to>
    <xdr:pic>
      <xdr:nvPicPr>
        <xdr:cNvPr id="31" name="Graphic 30" descr="Bar chart with solid fill">
          <a:hlinkClick xmlns:r="http://schemas.openxmlformats.org/officeDocument/2006/relationships" r:id="rId13" tooltip="Move to &quot;specific_info&quot; table"/>
          <a:extLst>
            <a:ext uri="{FF2B5EF4-FFF2-40B4-BE49-F238E27FC236}">
              <a16:creationId xmlns:a16="http://schemas.microsoft.com/office/drawing/2014/main" id="{76828F37-65DA-4921-9AA8-0B28ABF0883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51784" y="1446493"/>
          <a:ext cx="696632" cy="696632"/>
        </a:xfrm>
        <a:prstGeom prst="rect">
          <a:avLst/>
        </a:prstGeom>
      </xdr:spPr>
    </xdr:pic>
    <xdr:clientData/>
  </xdr:twoCellAnchor>
  <xdr:twoCellAnchor>
    <xdr:from>
      <xdr:col>0</xdr:col>
      <xdr:colOff>0</xdr:colOff>
      <xdr:row>0</xdr:row>
      <xdr:rowOff>85725</xdr:rowOff>
    </xdr:from>
    <xdr:to>
      <xdr:col>1</xdr:col>
      <xdr:colOff>123825</xdr:colOff>
      <xdr:row>2</xdr:row>
      <xdr:rowOff>9525</xdr:rowOff>
    </xdr:to>
    <xdr:sp macro="" textlink="">
      <xdr:nvSpPr>
        <xdr:cNvPr id="33" name="TextBox 32">
          <a:extLst>
            <a:ext uri="{FF2B5EF4-FFF2-40B4-BE49-F238E27FC236}">
              <a16:creationId xmlns:a16="http://schemas.microsoft.com/office/drawing/2014/main" id="{6E15A202-CC46-4F4F-95E3-3788509D77FD}"/>
            </a:ext>
          </a:extLst>
        </xdr:cNvPr>
        <xdr:cNvSpPr txBox="1"/>
      </xdr:nvSpPr>
      <xdr:spPr>
        <a:xfrm>
          <a:off x="0" y="85725"/>
          <a:ext cx="17621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100">
              <a:latin typeface="Segoe UI Semibold" panose="020B0702040204020203" pitchFamily="34" charset="0"/>
              <a:cs typeface="Segoe UI Semibold" panose="020B0702040204020203" pitchFamily="34" charset="0"/>
            </a:rPr>
            <a:t>Click to go to the table:</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0</xdr:col>
      <xdr:colOff>409575</xdr:colOff>
      <xdr:row>2</xdr:row>
      <xdr:rowOff>190499</xdr:rowOff>
    </xdr:from>
    <xdr:to>
      <xdr:col>0</xdr:col>
      <xdr:colOff>1190775</xdr:colOff>
      <xdr:row>6</xdr:row>
      <xdr:rowOff>134099</xdr:rowOff>
    </xdr:to>
    <xdr:sp macro="" textlink="">
      <xdr:nvSpPr>
        <xdr:cNvPr id="34" name="Rectangle 33">
          <a:extLst>
            <a:ext uri="{FF2B5EF4-FFF2-40B4-BE49-F238E27FC236}">
              <a16:creationId xmlns:a16="http://schemas.microsoft.com/office/drawing/2014/main" id="{8A78C181-C04F-45D7-99FD-F695F3C6BE9A}"/>
            </a:ext>
          </a:extLst>
        </xdr:cNvPr>
        <xdr:cNvSpPr/>
      </xdr:nvSpPr>
      <xdr:spPr>
        <a:xfrm>
          <a:off x="409575" y="571499"/>
          <a:ext cx="781200" cy="97230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7</xdr:row>
      <xdr:rowOff>71999</xdr:rowOff>
    </xdr:from>
    <xdr:to>
      <xdr:col>0</xdr:col>
      <xdr:colOff>1190625</xdr:colOff>
      <xdr:row>11</xdr:row>
      <xdr:rowOff>14849</xdr:rowOff>
    </xdr:to>
    <xdr:sp macro="" textlink="">
      <xdr:nvSpPr>
        <xdr:cNvPr id="35" name="Rectangle 34">
          <a:extLst>
            <a:ext uri="{FF2B5EF4-FFF2-40B4-BE49-F238E27FC236}">
              <a16:creationId xmlns:a16="http://schemas.microsoft.com/office/drawing/2014/main" id="{872E70A5-147C-408E-A1AA-4AACE73CF70E}"/>
            </a:ext>
          </a:extLst>
        </xdr:cNvPr>
        <xdr:cNvSpPr/>
      </xdr:nvSpPr>
      <xdr:spPr>
        <a:xfrm>
          <a:off x="409575" y="140549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11</xdr:row>
      <xdr:rowOff>143249</xdr:rowOff>
    </xdr:from>
    <xdr:to>
      <xdr:col>0</xdr:col>
      <xdr:colOff>1190625</xdr:colOff>
      <xdr:row>15</xdr:row>
      <xdr:rowOff>86099</xdr:rowOff>
    </xdr:to>
    <xdr:sp macro="" textlink="">
      <xdr:nvSpPr>
        <xdr:cNvPr id="36" name="Rectangle 35">
          <a:extLst>
            <a:ext uri="{FF2B5EF4-FFF2-40B4-BE49-F238E27FC236}">
              <a16:creationId xmlns:a16="http://schemas.microsoft.com/office/drawing/2014/main" id="{2E5FD964-A789-4D1C-84DB-425331323927}"/>
            </a:ext>
          </a:extLst>
        </xdr:cNvPr>
        <xdr:cNvSpPr/>
      </xdr:nvSpPr>
      <xdr:spPr>
        <a:xfrm>
          <a:off x="409575" y="223874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16</xdr:row>
      <xdr:rowOff>23999</xdr:rowOff>
    </xdr:from>
    <xdr:to>
      <xdr:col>0</xdr:col>
      <xdr:colOff>1190625</xdr:colOff>
      <xdr:row>19</xdr:row>
      <xdr:rowOff>157349</xdr:rowOff>
    </xdr:to>
    <xdr:sp macro="" textlink="">
      <xdr:nvSpPr>
        <xdr:cNvPr id="37" name="Rectangle 36">
          <a:extLst>
            <a:ext uri="{FF2B5EF4-FFF2-40B4-BE49-F238E27FC236}">
              <a16:creationId xmlns:a16="http://schemas.microsoft.com/office/drawing/2014/main" id="{167DBD87-7808-4DA8-BFCA-621E291E324F}"/>
            </a:ext>
          </a:extLst>
        </xdr:cNvPr>
        <xdr:cNvSpPr/>
      </xdr:nvSpPr>
      <xdr:spPr>
        <a:xfrm>
          <a:off x="409575" y="307199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20</xdr:row>
      <xdr:rowOff>95250</xdr:rowOff>
    </xdr:from>
    <xdr:to>
      <xdr:col>0</xdr:col>
      <xdr:colOff>1190625</xdr:colOff>
      <xdr:row>24</xdr:row>
      <xdr:rowOff>38100</xdr:rowOff>
    </xdr:to>
    <xdr:sp macro="" textlink="">
      <xdr:nvSpPr>
        <xdr:cNvPr id="38" name="Rectangle 37">
          <a:extLst>
            <a:ext uri="{FF2B5EF4-FFF2-40B4-BE49-F238E27FC236}">
              <a16:creationId xmlns:a16="http://schemas.microsoft.com/office/drawing/2014/main" id="{3CD2AE67-6631-421F-9810-3EB62E4FD086}"/>
            </a:ext>
          </a:extLst>
        </xdr:cNvPr>
        <xdr:cNvSpPr/>
      </xdr:nvSpPr>
      <xdr:spPr>
        <a:xfrm>
          <a:off x="409575" y="3905250"/>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292914</xdr:colOff>
      <xdr:row>1</xdr:row>
      <xdr:rowOff>47625</xdr:rowOff>
    </xdr:from>
    <xdr:to>
      <xdr:col>22</xdr:col>
      <xdr:colOff>19051</xdr:colOff>
      <xdr:row>6</xdr:row>
      <xdr:rowOff>72796</xdr:rowOff>
    </xdr:to>
    <xdr:sp macro="" textlink="">
      <xdr:nvSpPr>
        <xdr:cNvPr id="17" name="Rectangle: Rounded Corners 16">
          <a:extLst>
            <a:ext uri="{FF2B5EF4-FFF2-40B4-BE49-F238E27FC236}">
              <a16:creationId xmlns:a16="http://schemas.microsoft.com/office/drawing/2014/main" id="{0F98B167-D9F9-213C-8C03-5CEB5C00941D}"/>
            </a:ext>
          </a:extLst>
        </xdr:cNvPr>
        <xdr:cNvSpPr/>
      </xdr:nvSpPr>
      <xdr:spPr>
        <a:xfrm>
          <a:off x="1369239" y="238125"/>
          <a:ext cx="17852212" cy="977671"/>
        </a:xfrm>
        <a:prstGeom prst="roundRect">
          <a:avLst>
            <a:gd name="adj" fmla="val 25078"/>
          </a:avLst>
        </a:prstGeom>
        <a:solidFill>
          <a:srgbClr val="E0C1B3">
            <a:alpha val="90000"/>
          </a:srgb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xdr:col>
      <xdr:colOff>304802</xdr:colOff>
      <xdr:row>1</xdr:row>
      <xdr:rowOff>38101</xdr:rowOff>
    </xdr:from>
    <xdr:to>
      <xdr:col>22</xdr:col>
      <xdr:colOff>38101</xdr:colOff>
      <xdr:row>6</xdr:row>
      <xdr:rowOff>76200</xdr:rowOff>
    </xdr:to>
    <xdr:sp macro="" textlink="">
      <xdr:nvSpPr>
        <xdr:cNvPr id="18" name="TextBox 17">
          <a:extLst>
            <a:ext uri="{FF2B5EF4-FFF2-40B4-BE49-F238E27FC236}">
              <a16:creationId xmlns:a16="http://schemas.microsoft.com/office/drawing/2014/main" id="{73F7490E-7B07-68C8-5FD5-16EFE0D54907}"/>
            </a:ext>
          </a:extLst>
        </xdr:cNvPr>
        <xdr:cNvSpPr txBox="1"/>
      </xdr:nvSpPr>
      <xdr:spPr>
        <a:xfrm>
          <a:off x="1381127" y="228601"/>
          <a:ext cx="17859374" cy="990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4400">
              <a:latin typeface="Segoe UI Semibold" panose="020B0702040204020203" pitchFamily="34" charset="0"/>
              <a:cs typeface="Segoe UI Semibold" panose="020B0702040204020203" pitchFamily="34" charset="0"/>
            </a:rPr>
            <a:t>Hospital Report</a:t>
          </a:r>
        </a:p>
      </xdr:txBody>
    </xdr:sp>
    <xdr:clientData/>
  </xdr:twoCellAnchor>
  <xdr:twoCellAnchor>
    <xdr:from>
      <xdr:col>1</xdr:col>
      <xdr:colOff>464361</xdr:colOff>
      <xdr:row>8</xdr:row>
      <xdr:rowOff>109538</xdr:rowOff>
    </xdr:from>
    <xdr:to>
      <xdr:col>7</xdr:col>
      <xdr:colOff>190500</xdr:colOff>
      <xdr:row>18</xdr:row>
      <xdr:rowOff>80963</xdr:rowOff>
    </xdr:to>
    <xdr:sp macro="" textlink="">
      <xdr:nvSpPr>
        <xdr:cNvPr id="20" name="Rectangle: Rounded Corners 19">
          <a:extLst>
            <a:ext uri="{FF2B5EF4-FFF2-40B4-BE49-F238E27FC236}">
              <a16:creationId xmlns:a16="http://schemas.microsoft.com/office/drawing/2014/main" id="{16D2E2CA-2E17-417B-B028-774A707F27CF}"/>
            </a:ext>
          </a:extLst>
        </xdr:cNvPr>
        <xdr:cNvSpPr/>
      </xdr:nvSpPr>
      <xdr:spPr>
        <a:xfrm>
          <a:off x="1540686" y="1633538"/>
          <a:ext cx="3383739" cy="1876425"/>
        </a:xfrm>
        <a:prstGeom prst="roundRect">
          <a:avLst>
            <a:gd name="adj" fmla="val 25078"/>
          </a:avLst>
        </a:prstGeom>
        <a:solidFill>
          <a:srgbClr val="E0C1B3">
            <a:alpha val="90000"/>
          </a:srgb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a:solidFill>
              <a:sysClr val="windowText" lastClr="000000"/>
            </a:solidFill>
          </a:endParaRPr>
        </a:p>
      </xdr:txBody>
    </xdr:sp>
    <xdr:clientData/>
  </xdr:twoCellAnchor>
  <xdr:twoCellAnchor>
    <xdr:from>
      <xdr:col>1</xdr:col>
      <xdr:colOff>502460</xdr:colOff>
      <xdr:row>20</xdr:row>
      <xdr:rowOff>157161</xdr:rowOff>
    </xdr:from>
    <xdr:to>
      <xdr:col>16</xdr:col>
      <xdr:colOff>390525</xdr:colOff>
      <xdr:row>46</xdr:row>
      <xdr:rowOff>185736</xdr:rowOff>
    </xdr:to>
    <xdr:sp macro="" textlink="">
      <xdr:nvSpPr>
        <xdr:cNvPr id="21" name="Rectangle: Rounded Corners 20">
          <a:extLst>
            <a:ext uri="{FF2B5EF4-FFF2-40B4-BE49-F238E27FC236}">
              <a16:creationId xmlns:a16="http://schemas.microsoft.com/office/drawing/2014/main" id="{D16B7A39-3489-4E2D-BE96-355572E5B76E}"/>
            </a:ext>
          </a:extLst>
        </xdr:cNvPr>
        <xdr:cNvSpPr/>
      </xdr:nvSpPr>
      <xdr:spPr>
        <a:xfrm>
          <a:off x="1578785" y="3967161"/>
          <a:ext cx="9032065" cy="4981575"/>
        </a:xfrm>
        <a:prstGeom prst="roundRect">
          <a:avLst>
            <a:gd name="adj" fmla="val 25078"/>
          </a:avLst>
        </a:prstGeom>
        <a:solidFill>
          <a:srgbClr val="E0C1B3">
            <a:alpha val="90000"/>
          </a:srgb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8</xdr:col>
      <xdr:colOff>163794</xdr:colOff>
      <xdr:row>8</xdr:row>
      <xdr:rowOff>123825</xdr:rowOff>
    </xdr:from>
    <xdr:to>
      <xdr:col>13</xdr:col>
      <xdr:colOff>442383</xdr:colOff>
      <xdr:row>18</xdr:row>
      <xdr:rowOff>85725</xdr:rowOff>
    </xdr:to>
    <xdr:sp macro="" textlink="">
      <xdr:nvSpPr>
        <xdr:cNvPr id="22" name="Rectangle: Rounded Corners 21">
          <a:extLst>
            <a:ext uri="{FF2B5EF4-FFF2-40B4-BE49-F238E27FC236}">
              <a16:creationId xmlns:a16="http://schemas.microsoft.com/office/drawing/2014/main" id="{73898803-C893-4DC8-9798-CA52ACBEA41A}"/>
            </a:ext>
          </a:extLst>
        </xdr:cNvPr>
        <xdr:cNvSpPr/>
      </xdr:nvSpPr>
      <xdr:spPr>
        <a:xfrm>
          <a:off x="5507319" y="1647825"/>
          <a:ext cx="3326589" cy="1866900"/>
        </a:xfrm>
        <a:prstGeom prst="roundRect">
          <a:avLst>
            <a:gd name="adj" fmla="val 25078"/>
          </a:avLst>
        </a:prstGeom>
        <a:solidFill>
          <a:srgbClr val="E0C1B3">
            <a:alpha val="90000"/>
          </a:srgb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a:p>
      </xdr:txBody>
    </xdr:sp>
    <xdr:clientData/>
  </xdr:twoCellAnchor>
  <xdr:twoCellAnchor>
    <xdr:from>
      <xdr:col>14</xdr:col>
      <xdr:colOff>263277</xdr:colOff>
      <xdr:row>8</xdr:row>
      <xdr:rowOff>109538</xdr:rowOff>
    </xdr:from>
    <xdr:to>
      <xdr:col>19</xdr:col>
      <xdr:colOff>224366</xdr:colOff>
      <xdr:row>18</xdr:row>
      <xdr:rowOff>61913</xdr:rowOff>
    </xdr:to>
    <xdr:sp macro="" textlink="">
      <xdr:nvSpPr>
        <xdr:cNvPr id="23" name="Rectangle: Rounded Corners 22">
          <a:extLst>
            <a:ext uri="{FF2B5EF4-FFF2-40B4-BE49-F238E27FC236}">
              <a16:creationId xmlns:a16="http://schemas.microsoft.com/office/drawing/2014/main" id="{D774AE8A-E209-4A53-AD20-F5855DE0294E}"/>
            </a:ext>
          </a:extLst>
        </xdr:cNvPr>
        <xdr:cNvSpPr/>
      </xdr:nvSpPr>
      <xdr:spPr>
        <a:xfrm>
          <a:off x="9264402" y="1633538"/>
          <a:ext cx="4266389" cy="1857375"/>
        </a:xfrm>
        <a:prstGeom prst="roundRect">
          <a:avLst>
            <a:gd name="adj" fmla="val 25078"/>
          </a:avLst>
        </a:prstGeom>
        <a:solidFill>
          <a:srgbClr val="E0C1B3">
            <a:alpha val="90000"/>
          </a:srgb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371476</xdr:colOff>
      <xdr:row>20</xdr:row>
      <xdr:rowOff>157161</xdr:rowOff>
    </xdr:from>
    <xdr:to>
      <xdr:col>21</xdr:col>
      <xdr:colOff>2057400</xdr:colOff>
      <xdr:row>47</xdr:row>
      <xdr:rowOff>104774</xdr:rowOff>
    </xdr:to>
    <xdr:sp macro="" textlink="">
      <xdr:nvSpPr>
        <xdr:cNvPr id="24" name="Rectangle: Rounded Corners 23">
          <a:extLst>
            <a:ext uri="{FF2B5EF4-FFF2-40B4-BE49-F238E27FC236}">
              <a16:creationId xmlns:a16="http://schemas.microsoft.com/office/drawing/2014/main" id="{3600B58F-B00C-4788-ACAC-FF3E0F579A60}"/>
            </a:ext>
          </a:extLst>
        </xdr:cNvPr>
        <xdr:cNvSpPr/>
      </xdr:nvSpPr>
      <xdr:spPr>
        <a:xfrm>
          <a:off x="11201401" y="3967161"/>
          <a:ext cx="7458074" cy="5091113"/>
        </a:xfrm>
        <a:prstGeom prst="roundRect">
          <a:avLst>
            <a:gd name="adj" fmla="val 25078"/>
          </a:avLst>
        </a:prstGeom>
        <a:solidFill>
          <a:srgbClr val="E0C1B3">
            <a:alpha val="90000"/>
          </a:srgb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xdr:col>
      <xdr:colOff>485774</xdr:colOff>
      <xdr:row>8</xdr:row>
      <xdr:rowOff>171450</xdr:rowOff>
    </xdr:from>
    <xdr:to>
      <xdr:col>7</xdr:col>
      <xdr:colOff>200025</xdr:colOff>
      <xdr:row>11</xdr:row>
      <xdr:rowOff>28576</xdr:rowOff>
    </xdr:to>
    <xdr:sp macro="" textlink="">
      <xdr:nvSpPr>
        <xdr:cNvPr id="25" name="TextBox 24">
          <a:extLst>
            <a:ext uri="{FF2B5EF4-FFF2-40B4-BE49-F238E27FC236}">
              <a16:creationId xmlns:a16="http://schemas.microsoft.com/office/drawing/2014/main" id="{A49E46F5-9887-5222-FE45-EA89BA530586}"/>
            </a:ext>
          </a:extLst>
        </xdr:cNvPr>
        <xdr:cNvSpPr txBox="1"/>
      </xdr:nvSpPr>
      <xdr:spPr>
        <a:xfrm>
          <a:off x="1562099" y="1695450"/>
          <a:ext cx="3371851"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a:latin typeface="Segoe UI Semibold" panose="020B0702040204020203" pitchFamily="34" charset="0"/>
              <a:cs typeface="Segoe UI Semibold" panose="020B0702040204020203" pitchFamily="34" charset="0"/>
            </a:rPr>
            <a:t>Number of patients total</a:t>
          </a:r>
        </a:p>
      </xdr:txBody>
    </xdr:sp>
    <xdr:clientData/>
  </xdr:twoCellAnchor>
  <xdr:twoCellAnchor>
    <xdr:from>
      <xdr:col>8</xdr:col>
      <xdr:colOff>180976</xdr:colOff>
      <xdr:row>9</xdr:row>
      <xdr:rowOff>9524</xdr:rowOff>
    </xdr:from>
    <xdr:to>
      <xdr:col>13</xdr:col>
      <xdr:colOff>333376</xdr:colOff>
      <xdr:row>10</xdr:row>
      <xdr:rowOff>161925</xdr:rowOff>
    </xdr:to>
    <xdr:sp macro="" textlink="">
      <xdr:nvSpPr>
        <xdr:cNvPr id="27" name="TextBox 26">
          <a:extLst>
            <a:ext uri="{FF2B5EF4-FFF2-40B4-BE49-F238E27FC236}">
              <a16:creationId xmlns:a16="http://schemas.microsoft.com/office/drawing/2014/main" id="{2B09FC33-DEAE-44CC-861A-6629F6061ED9}"/>
            </a:ext>
          </a:extLst>
        </xdr:cNvPr>
        <xdr:cNvSpPr txBox="1"/>
      </xdr:nvSpPr>
      <xdr:spPr>
        <a:xfrm>
          <a:off x="5524501" y="1724024"/>
          <a:ext cx="3200400"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a:latin typeface="Segoe UI Semibold" panose="020B0702040204020203" pitchFamily="34" charset="0"/>
              <a:cs typeface="Segoe UI Semibold" panose="020B0702040204020203" pitchFamily="34" charset="0"/>
            </a:rPr>
            <a:t>Number of staff</a:t>
          </a:r>
        </a:p>
      </xdr:txBody>
    </xdr:sp>
    <xdr:clientData/>
  </xdr:twoCellAnchor>
  <xdr:twoCellAnchor>
    <xdr:from>
      <xdr:col>14</xdr:col>
      <xdr:colOff>285751</xdr:colOff>
      <xdr:row>8</xdr:row>
      <xdr:rowOff>190499</xdr:rowOff>
    </xdr:from>
    <xdr:to>
      <xdr:col>19</xdr:col>
      <xdr:colOff>228601</xdr:colOff>
      <xdr:row>11</xdr:row>
      <xdr:rowOff>0</xdr:rowOff>
    </xdr:to>
    <xdr:sp macro="" textlink="">
      <xdr:nvSpPr>
        <xdr:cNvPr id="28" name="TextBox 27">
          <a:extLst>
            <a:ext uri="{FF2B5EF4-FFF2-40B4-BE49-F238E27FC236}">
              <a16:creationId xmlns:a16="http://schemas.microsoft.com/office/drawing/2014/main" id="{1F0991B3-3D41-4972-9713-1FB1350E3024}"/>
            </a:ext>
          </a:extLst>
        </xdr:cNvPr>
        <xdr:cNvSpPr txBox="1"/>
      </xdr:nvSpPr>
      <xdr:spPr>
        <a:xfrm>
          <a:off x="9286876" y="1714499"/>
          <a:ext cx="4248150"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a:latin typeface="Segoe UI Semibold" panose="020B0702040204020203" pitchFamily="34" charset="0"/>
              <a:cs typeface="Segoe UI Semibold" panose="020B0702040204020203" pitchFamily="34" charset="0"/>
            </a:rPr>
            <a:t>Patient</a:t>
          </a:r>
          <a:r>
            <a:rPr lang="pl-PL" sz="1600" baseline="0">
              <a:latin typeface="Segoe UI Semibold" panose="020B0702040204020203" pitchFamily="34" charset="0"/>
              <a:cs typeface="Segoe UI Semibold" panose="020B0702040204020203" pitchFamily="34" charset="0"/>
            </a:rPr>
            <a:t>s for 1 doctor</a:t>
          </a:r>
        </a:p>
        <a:p>
          <a:endParaRPr lang="pl-PL" sz="1600">
            <a:latin typeface="Segoe UI Semibold" panose="020B0702040204020203" pitchFamily="34" charset="0"/>
            <a:cs typeface="Segoe UI Semibold" panose="020B0702040204020203" pitchFamily="34" charset="0"/>
          </a:endParaRPr>
        </a:p>
      </xdr:txBody>
    </xdr:sp>
    <xdr:clientData/>
  </xdr:twoCellAnchor>
  <xdr:twoCellAnchor>
    <xdr:from>
      <xdr:col>3</xdr:col>
      <xdr:colOff>123824</xdr:colOff>
      <xdr:row>22</xdr:row>
      <xdr:rowOff>66676</xdr:rowOff>
    </xdr:from>
    <xdr:to>
      <xdr:col>15</xdr:col>
      <xdr:colOff>476249</xdr:colOff>
      <xdr:row>24</xdr:row>
      <xdr:rowOff>66676</xdr:rowOff>
    </xdr:to>
    <xdr:sp macro="" textlink="">
      <xdr:nvSpPr>
        <xdr:cNvPr id="30" name="TextBox 29">
          <a:extLst>
            <a:ext uri="{FF2B5EF4-FFF2-40B4-BE49-F238E27FC236}">
              <a16:creationId xmlns:a16="http://schemas.microsoft.com/office/drawing/2014/main" id="{7E103214-40AB-444D-8039-09DDF8CBCBFC}"/>
            </a:ext>
          </a:extLst>
        </xdr:cNvPr>
        <xdr:cNvSpPr txBox="1"/>
      </xdr:nvSpPr>
      <xdr:spPr>
        <a:xfrm>
          <a:off x="2419349" y="4257676"/>
          <a:ext cx="76676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a:solidFill>
                <a:sysClr val="windowText" lastClr="000000"/>
              </a:solidFill>
              <a:latin typeface="Segoe UI Semibold" panose="020B0702040204020203" pitchFamily="34" charset="0"/>
              <a:cs typeface="Segoe UI Semibold" panose="020B0702040204020203" pitchFamily="34" charset="0"/>
            </a:rPr>
            <a:t>Number of patients</a:t>
          </a:r>
        </a:p>
        <a:p>
          <a:pPr algn="ctr"/>
          <a:endParaRPr lang="pl-PL" sz="16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xdr:col>
      <xdr:colOff>447675</xdr:colOff>
      <xdr:row>11</xdr:row>
      <xdr:rowOff>152400</xdr:rowOff>
    </xdr:from>
    <xdr:to>
      <xdr:col>7</xdr:col>
      <xdr:colOff>171450</xdr:colOff>
      <xdr:row>16</xdr:row>
      <xdr:rowOff>57150</xdr:rowOff>
    </xdr:to>
    <xdr:sp macro="" textlink="">
      <xdr:nvSpPr>
        <xdr:cNvPr id="33" name="TextBox 32">
          <a:extLst>
            <a:ext uri="{FF2B5EF4-FFF2-40B4-BE49-F238E27FC236}">
              <a16:creationId xmlns:a16="http://schemas.microsoft.com/office/drawing/2014/main" id="{E3C7A3BF-42CA-602B-41AF-C48AC0BD5024}"/>
            </a:ext>
          </a:extLst>
        </xdr:cNvPr>
        <xdr:cNvSpPr txBox="1"/>
      </xdr:nvSpPr>
      <xdr:spPr>
        <a:xfrm>
          <a:off x="1524000" y="2247900"/>
          <a:ext cx="3381375"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4400">
              <a:solidFill>
                <a:schemeClr val="tx1"/>
              </a:solidFill>
              <a:latin typeface="Segoe UI" panose="020B0502040204020203" pitchFamily="34" charset="0"/>
              <a:cs typeface="Segoe UI" panose="020B0502040204020203" pitchFamily="34" charset="0"/>
            </a:rPr>
            <a:t>1000</a:t>
          </a:r>
        </a:p>
      </xdr:txBody>
    </xdr:sp>
    <xdr:clientData/>
  </xdr:twoCellAnchor>
  <xdr:twoCellAnchor>
    <xdr:from>
      <xdr:col>19</xdr:col>
      <xdr:colOff>654860</xdr:colOff>
      <xdr:row>8</xdr:row>
      <xdr:rowOff>133350</xdr:rowOff>
    </xdr:from>
    <xdr:to>
      <xdr:col>21</xdr:col>
      <xdr:colOff>2095500</xdr:colOff>
      <xdr:row>18</xdr:row>
      <xdr:rowOff>95250</xdr:rowOff>
    </xdr:to>
    <xdr:sp macro="" textlink="">
      <xdr:nvSpPr>
        <xdr:cNvPr id="34" name="Rectangle: Rounded Corners 33">
          <a:extLst>
            <a:ext uri="{FF2B5EF4-FFF2-40B4-BE49-F238E27FC236}">
              <a16:creationId xmlns:a16="http://schemas.microsoft.com/office/drawing/2014/main" id="{3C125334-61E1-467C-B776-ED684579D171}"/>
            </a:ext>
          </a:extLst>
        </xdr:cNvPr>
        <xdr:cNvSpPr/>
      </xdr:nvSpPr>
      <xdr:spPr>
        <a:xfrm>
          <a:off x="14275610" y="1657350"/>
          <a:ext cx="4850590" cy="1866900"/>
        </a:xfrm>
        <a:prstGeom prst="roundRect">
          <a:avLst>
            <a:gd name="adj" fmla="val 25078"/>
          </a:avLst>
        </a:prstGeom>
        <a:solidFill>
          <a:srgbClr val="E0C1B3">
            <a:alpha val="90000"/>
          </a:srgb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a:p>
      </xdr:txBody>
    </xdr:sp>
    <xdr:clientData/>
  </xdr:twoCellAnchor>
  <xdr:twoCellAnchor>
    <xdr:from>
      <xdr:col>8</xdr:col>
      <xdr:colOff>142875</xdr:colOff>
      <xdr:row>11</xdr:row>
      <xdr:rowOff>152400</xdr:rowOff>
    </xdr:from>
    <xdr:to>
      <xdr:col>13</xdr:col>
      <xdr:colOff>428625</xdr:colOff>
      <xdr:row>17</xdr:row>
      <xdr:rowOff>19050</xdr:rowOff>
    </xdr:to>
    <xdr:sp macro="" textlink="">
      <xdr:nvSpPr>
        <xdr:cNvPr id="35" name="TextBox 34">
          <a:extLst>
            <a:ext uri="{FF2B5EF4-FFF2-40B4-BE49-F238E27FC236}">
              <a16:creationId xmlns:a16="http://schemas.microsoft.com/office/drawing/2014/main" id="{19537CD1-7D06-2875-C625-BFFC31B910F9}"/>
            </a:ext>
          </a:extLst>
        </xdr:cNvPr>
        <xdr:cNvSpPr txBox="1"/>
      </xdr:nvSpPr>
      <xdr:spPr>
        <a:xfrm>
          <a:off x="5486400" y="2247900"/>
          <a:ext cx="3333750"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4400">
              <a:latin typeface="Segoe UI" panose="020B0502040204020203" pitchFamily="34" charset="0"/>
              <a:cs typeface="Segoe UI" panose="020B0502040204020203" pitchFamily="34" charset="0"/>
            </a:rPr>
            <a:t>110</a:t>
          </a:r>
        </a:p>
      </xdr:txBody>
    </xdr:sp>
    <xdr:clientData/>
  </xdr:twoCellAnchor>
  <xdr:twoCellAnchor editAs="oneCell">
    <xdr:from>
      <xdr:col>18</xdr:col>
      <xdr:colOff>1390650</xdr:colOff>
      <xdr:row>1</xdr:row>
      <xdr:rowOff>76200</xdr:rowOff>
    </xdr:from>
    <xdr:to>
      <xdr:col>19</xdr:col>
      <xdr:colOff>552450</xdr:colOff>
      <xdr:row>6</xdr:row>
      <xdr:rowOff>38100</xdr:rowOff>
    </xdr:to>
    <xdr:pic>
      <xdr:nvPicPr>
        <xdr:cNvPr id="38" name="Graphic 37" descr="Medicine with solid fill">
          <a:extLst>
            <a:ext uri="{FF2B5EF4-FFF2-40B4-BE49-F238E27FC236}">
              <a16:creationId xmlns:a16="http://schemas.microsoft.com/office/drawing/2014/main" id="{97216A0B-7809-B0CA-B22A-9E927A93C8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830175" y="266700"/>
          <a:ext cx="914400" cy="914400"/>
        </a:xfrm>
        <a:prstGeom prst="rect">
          <a:avLst/>
        </a:prstGeom>
      </xdr:spPr>
    </xdr:pic>
    <xdr:clientData/>
  </xdr:twoCellAnchor>
  <xdr:twoCellAnchor>
    <xdr:from>
      <xdr:col>14</xdr:col>
      <xdr:colOff>276224</xdr:colOff>
      <xdr:row>10</xdr:row>
      <xdr:rowOff>171450</xdr:rowOff>
    </xdr:from>
    <xdr:to>
      <xdr:col>19</xdr:col>
      <xdr:colOff>228599</xdr:colOff>
      <xdr:row>17</xdr:row>
      <xdr:rowOff>76200</xdr:rowOff>
    </xdr:to>
    <xdr:sp macro="" textlink="">
      <xdr:nvSpPr>
        <xdr:cNvPr id="2" name="TextBox 1">
          <a:extLst>
            <a:ext uri="{FF2B5EF4-FFF2-40B4-BE49-F238E27FC236}">
              <a16:creationId xmlns:a16="http://schemas.microsoft.com/office/drawing/2014/main" id="{BC1E0DF3-5B28-A8E0-F5BE-D0BF7DAF017F}"/>
            </a:ext>
          </a:extLst>
        </xdr:cNvPr>
        <xdr:cNvSpPr txBox="1"/>
      </xdr:nvSpPr>
      <xdr:spPr>
        <a:xfrm>
          <a:off x="9277349" y="2076450"/>
          <a:ext cx="4257675"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sz="4400">
              <a:latin typeface="Segoe UI" panose="020B0502040204020203" pitchFamily="34" charset="0"/>
              <a:cs typeface="Segoe UI" panose="020B0502040204020203" pitchFamily="34" charset="0"/>
            </a:rPr>
            <a:t>55,6</a:t>
          </a:r>
        </a:p>
      </xdr:txBody>
    </xdr:sp>
    <xdr:clientData/>
  </xdr:twoCellAnchor>
  <xdr:twoCellAnchor>
    <xdr:from>
      <xdr:col>19</xdr:col>
      <xdr:colOff>733424</xdr:colOff>
      <xdr:row>9</xdr:row>
      <xdr:rowOff>0</xdr:rowOff>
    </xdr:from>
    <xdr:to>
      <xdr:col>21</xdr:col>
      <xdr:colOff>2152649</xdr:colOff>
      <xdr:row>12</xdr:row>
      <xdr:rowOff>57150</xdr:rowOff>
    </xdr:to>
    <xdr:sp macro="" textlink="">
      <xdr:nvSpPr>
        <xdr:cNvPr id="6" name="TextBox 5">
          <a:extLst>
            <a:ext uri="{FF2B5EF4-FFF2-40B4-BE49-F238E27FC236}">
              <a16:creationId xmlns:a16="http://schemas.microsoft.com/office/drawing/2014/main" id="{64BF7247-E466-6353-A5C3-2503A7F56145}"/>
            </a:ext>
          </a:extLst>
        </xdr:cNvPr>
        <xdr:cNvSpPr txBox="1"/>
      </xdr:nvSpPr>
      <xdr:spPr>
        <a:xfrm>
          <a:off x="14039849" y="1714500"/>
          <a:ext cx="5153025"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a:latin typeface="Segoe UI Semibold" panose="020B0702040204020203" pitchFamily="34" charset="0"/>
              <a:cs typeface="Segoe UI Semibold" panose="020B0702040204020203" pitchFamily="34" charset="0"/>
            </a:rPr>
            <a:t>Average length of stay</a:t>
          </a:r>
        </a:p>
      </xdr:txBody>
    </xdr:sp>
    <xdr:clientData/>
  </xdr:twoCellAnchor>
  <xdr:twoCellAnchor>
    <xdr:from>
      <xdr:col>2</xdr:col>
      <xdr:colOff>361950</xdr:colOff>
      <xdr:row>24</xdr:row>
      <xdr:rowOff>171450</xdr:rowOff>
    </xdr:from>
    <xdr:to>
      <xdr:col>16</xdr:col>
      <xdr:colOff>104775</xdr:colOff>
      <xdr:row>45</xdr:row>
      <xdr:rowOff>57150</xdr:rowOff>
    </xdr:to>
    <xdr:graphicFrame macro="">
      <xdr:nvGraphicFramePr>
        <xdr:cNvPr id="13" name="Chart 17">
          <a:extLst>
            <a:ext uri="{FF2B5EF4-FFF2-40B4-BE49-F238E27FC236}">
              <a16:creationId xmlns:a16="http://schemas.microsoft.com/office/drawing/2014/main" id="{5347DB77-3134-B1D7-E66E-1E81BA439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409575</xdr:colOff>
      <xdr:row>1</xdr:row>
      <xdr:rowOff>0</xdr:rowOff>
    </xdr:from>
    <xdr:to>
      <xdr:col>3</xdr:col>
      <xdr:colOff>371475</xdr:colOff>
      <xdr:row>6</xdr:row>
      <xdr:rowOff>104774</xdr:rowOff>
    </xdr:to>
    <xdr:pic>
      <xdr:nvPicPr>
        <xdr:cNvPr id="51" name="Graphic 50" descr="Medical with solid fill">
          <a:extLst>
            <a:ext uri="{FF2B5EF4-FFF2-40B4-BE49-F238E27FC236}">
              <a16:creationId xmlns:a16="http://schemas.microsoft.com/office/drawing/2014/main" id="{D6D3B982-975E-4C8C-84C5-17CB0C4F80C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14525" y="190500"/>
          <a:ext cx="1181100" cy="1057274"/>
        </a:xfrm>
        <a:prstGeom prst="rect">
          <a:avLst/>
        </a:prstGeom>
      </xdr:spPr>
    </xdr:pic>
    <xdr:clientData/>
  </xdr:twoCellAnchor>
  <xdr:twoCellAnchor>
    <xdr:from>
      <xdr:col>18</xdr:col>
      <xdr:colOff>581024</xdr:colOff>
      <xdr:row>24</xdr:row>
      <xdr:rowOff>38100</xdr:rowOff>
    </xdr:from>
    <xdr:to>
      <xdr:col>21</xdr:col>
      <xdr:colOff>2047875</xdr:colOff>
      <xdr:row>46</xdr:row>
      <xdr:rowOff>133350</xdr:rowOff>
    </xdr:to>
    <xdr:graphicFrame macro="">
      <xdr:nvGraphicFramePr>
        <xdr:cNvPr id="58" name="Chart 47">
          <a:extLst>
            <a:ext uri="{FF2B5EF4-FFF2-40B4-BE49-F238E27FC236}">
              <a16:creationId xmlns:a16="http://schemas.microsoft.com/office/drawing/2014/main" id="{C3DA55BB-376C-E73C-A37A-F4765EAF4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419100</xdr:colOff>
      <xdr:row>22</xdr:row>
      <xdr:rowOff>4761</xdr:rowOff>
    </xdr:from>
    <xdr:to>
      <xdr:col>21</xdr:col>
      <xdr:colOff>1990725</xdr:colOff>
      <xdr:row>24</xdr:row>
      <xdr:rowOff>4761</xdr:rowOff>
    </xdr:to>
    <xdr:sp macro="" textlink="">
      <xdr:nvSpPr>
        <xdr:cNvPr id="59" name="TextBox 58">
          <a:extLst>
            <a:ext uri="{FF2B5EF4-FFF2-40B4-BE49-F238E27FC236}">
              <a16:creationId xmlns:a16="http://schemas.microsoft.com/office/drawing/2014/main" id="{52929F5D-3119-488E-B160-0EAEF76ECC6C}"/>
            </a:ext>
          </a:extLst>
        </xdr:cNvPr>
        <xdr:cNvSpPr txBox="1"/>
      </xdr:nvSpPr>
      <xdr:spPr>
        <a:xfrm>
          <a:off x="11677650" y="4195761"/>
          <a:ext cx="73437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a:solidFill>
                <a:sysClr val="windowText" lastClr="000000"/>
              </a:solidFill>
              <a:latin typeface="Segoe UI Semibold" panose="020B0702040204020203" pitchFamily="34" charset="0"/>
              <a:cs typeface="Segoe UI Semibold" panose="020B0702040204020203" pitchFamily="34" charset="0"/>
            </a:rPr>
            <a:t>Service by age</a:t>
          </a:r>
        </a:p>
        <a:p>
          <a:pPr algn="ctr"/>
          <a:endParaRPr lang="pl-PL" sz="16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1047749</xdr:colOff>
      <xdr:row>11</xdr:row>
      <xdr:rowOff>38100</xdr:rowOff>
    </xdr:from>
    <xdr:to>
      <xdr:col>21</xdr:col>
      <xdr:colOff>1781174</xdr:colOff>
      <xdr:row>17</xdr:row>
      <xdr:rowOff>133350</xdr:rowOff>
    </xdr:to>
    <xdr:sp macro="" textlink="">
      <xdr:nvSpPr>
        <xdr:cNvPr id="61" name="TextBox 60">
          <a:extLst>
            <a:ext uri="{FF2B5EF4-FFF2-40B4-BE49-F238E27FC236}">
              <a16:creationId xmlns:a16="http://schemas.microsoft.com/office/drawing/2014/main" id="{E3CF2C41-60D4-4D5F-8205-B0C68E26F7D7}"/>
            </a:ext>
          </a:extLst>
        </xdr:cNvPr>
        <xdr:cNvSpPr txBox="1"/>
      </xdr:nvSpPr>
      <xdr:spPr>
        <a:xfrm>
          <a:off x="14668499" y="2133600"/>
          <a:ext cx="4143375"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sz="4400">
              <a:latin typeface="Segoe UI" panose="020B0502040204020203" pitchFamily="34" charset="0"/>
              <a:cs typeface="Segoe UI" panose="020B0502040204020203" pitchFamily="34" charset="0"/>
            </a:rPr>
            <a:t>7,41</a:t>
          </a:r>
        </a:p>
      </xdr:txBody>
    </xdr:sp>
    <xdr:clientData/>
  </xdr:twoCellAnchor>
  <xdr:twoCellAnchor>
    <xdr:from>
      <xdr:col>0</xdr:col>
      <xdr:colOff>0</xdr:colOff>
      <xdr:row>0</xdr:row>
      <xdr:rowOff>85725</xdr:rowOff>
    </xdr:from>
    <xdr:to>
      <xdr:col>1</xdr:col>
      <xdr:colOff>123825</xdr:colOff>
      <xdr:row>2</xdr:row>
      <xdr:rowOff>9525</xdr:rowOff>
    </xdr:to>
    <xdr:sp macro="" textlink="">
      <xdr:nvSpPr>
        <xdr:cNvPr id="12" name="TextBox 11">
          <a:extLst>
            <a:ext uri="{FF2B5EF4-FFF2-40B4-BE49-F238E27FC236}">
              <a16:creationId xmlns:a16="http://schemas.microsoft.com/office/drawing/2014/main" id="{C9CBF6E4-0A81-401F-9120-FEB9052B65F9}"/>
            </a:ext>
          </a:extLst>
        </xdr:cNvPr>
        <xdr:cNvSpPr txBox="1"/>
      </xdr:nvSpPr>
      <xdr:spPr>
        <a:xfrm>
          <a:off x="0" y="85725"/>
          <a:ext cx="17621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9524</xdr:colOff>
      <xdr:row>41</xdr:row>
      <xdr:rowOff>40275</xdr:rowOff>
    </xdr:from>
    <xdr:to>
      <xdr:col>1</xdr:col>
      <xdr:colOff>9525</xdr:colOff>
      <xdr:row>55</xdr:row>
      <xdr:rowOff>40275</xdr:rowOff>
    </xdr:to>
    <mc:AlternateContent xmlns:mc="http://schemas.openxmlformats.org/markup-compatibility/2006">
      <mc:Choice xmlns:a14="http://schemas.microsoft.com/office/drawing/2010/main" Requires="a14">
        <xdr:graphicFrame macro="">
          <xdr:nvGraphicFramePr>
            <xdr:cNvPr id="15" name="age_group 3">
              <a:extLst>
                <a:ext uri="{FF2B5EF4-FFF2-40B4-BE49-F238E27FC236}">
                  <a16:creationId xmlns:a16="http://schemas.microsoft.com/office/drawing/2014/main" id="{0BE09280-8923-45C9-9BD6-B9CEB0344623}"/>
                </a:ext>
              </a:extLst>
            </xdr:cNvPr>
            <xdr:cNvGraphicFramePr/>
          </xdr:nvGraphicFramePr>
          <xdr:xfrm>
            <a:off x="0" y="0"/>
            <a:ext cx="0" cy="0"/>
          </xdr:xfrm>
          <a:graphic>
            <a:graphicData uri="http://schemas.microsoft.com/office/drawing/2010/slicer">
              <sle:slicer xmlns:sle="http://schemas.microsoft.com/office/drawing/2010/slicer" name="age_group 3"/>
            </a:graphicData>
          </a:graphic>
        </xdr:graphicFrame>
      </mc:Choice>
      <mc:Fallback>
        <xdr:sp macro="" textlink="">
          <xdr:nvSpPr>
            <xdr:cNvPr id="0" name=""/>
            <xdr:cNvSpPr>
              <a:spLocks noTextEdit="1"/>
            </xdr:cNvSpPr>
          </xdr:nvSpPr>
          <xdr:spPr>
            <a:xfrm>
              <a:off x="9524" y="7850775"/>
              <a:ext cx="1638301"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62325</xdr:rowOff>
    </xdr:from>
    <xdr:to>
      <xdr:col>1</xdr:col>
      <xdr:colOff>9524</xdr:colOff>
      <xdr:row>41</xdr:row>
      <xdr:rowOff>62325</xdr:rowOff>
    </xdr:to>
    <mc:AlternateContent xmlns:mc="http://schemas.openxmlformats.org/markup-compatibility/2006">
      <mc:Choice xmlns:a14="http://schemas.microsoft.com/office/drawing/2010/main" Requires="a14">
        <xdr:graphicFrame macro="">
          <xdr:nvGraphicFramePr>
            <xdr:cNvPr id="19" name="service 4">
              <a:extLst>
                <a:ext uri="{FF2B5EF4-FFF2-40B4-BE49-F238E27FC236}">
                  <a16:creationId xmlns:a16="http://schemas.microsoft.com/office/drawing/2014/main" id="{F051C778-2891-4833-AD98-A70A710B8706}"/>
                </a:ext>
              </a:extLst>
            </xdr:cNvPr>
            <xdr:cNvGraphicFramePr/>
          </xdr:nvGraphicFramePr>
          <xdr:xfrm>
            <a:off x="0" y="0"/>
            <a:ext cx="0" cy="0"/>
          </xdr:xfrm>
          <a:graphic>
            <a:graphicData uri="http://schemas.microsoft.com/office/drawing/2010/slicer">
              <sle:slicer xmlns:sle="http://schemas.microsoft.com/office/drawing/2010/slicer" name="service 4"/>
            </a:graphicData>
          </a:graphic>
        </xdr:graphicFrame>
      </mc:Choice>
      <mc:Fallback>
        <xdr:sp macro="" textlink="">
          <xdr:nvSpPr>
            <xdr:cNvPr id="0" name=""/>
            <xdr:cNvSpPr>
              <a:spLocks noTextEdit="1"/>
            </xdr:cNvSpPr>
          </xdr:nvSpPr>
          <xdr:spPr>
            <a:xfrm>
              <a:off x="0" y="5205825"/>
              <a:ext cx="164782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409429</xdr:colOff>
      <xdr:row>11</xdr:row>
      <xdr:rowOff>104775</xdr:rowOff>
    </xdr:from>
    <xdr:to>
      <xdr:col>0</xdr:col>
      <xdr:colOff>1190772</xdr:colOff>
      <xdr:row>15</xdr:row>
      <xdr:rowOff>95250</xdr:rowOff>
    </xdr:to>
    <xdr:pic>
      <xdr:nvPicPr>
        <xdr:cNvPr id="26" name="Graphic 25" descr="Employee badge with solid fill">
          <a:hlinkClick xmlns:r="http://schemas.openxmlformats.org/officeDocument/2006/relationships" r:id="rId7" tooltip="Move to &quot;staff&quot; table"/>
          <a:extLst>
            <a:ext uri="{FF2B5EF4-FFF2-40B4-BE49-F238E27FC236}">
              <a16:creationId xmlns:a16="http://schemas.microsoft.com/office/drawing/2014/main" id="{16CA8AA3-9383-4AFF-95C6-C282D1A84FA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09429" y="2200275"/>
          <a:ext cx="781343" cy="752475"/>
        </a:xfrm>
        <a:prstGeom prst="rect">
          <a:avLst/>
        </a:prstGeom>
      </xdr:spPr>
    </xdr:pic>
    <xdr:clientData/>
  </xdr:twoCellAnchor>
  <xdr:twoCellAnchor>
    <xdr:from>
      <xdr:col>0</xdr:col>
      <xdr:colOff>469949</xdr:colOff>
      <xdr:row>20</xdr:row>
      <xdr:rowOff>84249</xdr:rowOff>
    </xdr:from>
    <xdr:to>
      <xdr:col>0</xdr:col>
      <xdr:colOff>1130251</xdr:colOff>
      <xdr:row>23</xdr:row>
      <xdr:rowOff>187732</xdr:rowOff>
    </xdr:to>
    <xdr:pic>
      <xdr:nvPicPr>
        <xdr:cNvPr id="29" name="Graphic 28" descr="Sleep with solid fill">
          <a:hlinkClick xmlns:r="http://schemas.openxmlformats.org/officeDocument/2006/relationships" r:id="rId10" tooltip="Move to &quot;services_weekly&quot; table"/>
          <a:extLst>
            <a:ext uri="{FF2B5EF4-FFF2-40B4-BE49-F238E27FC236}">
              <a16:creationId xmlns:a16="http://schemas.microsoft.com/office/drawing/2014/main" id="{DD4785F9-AC96-41EE-A395-259331F2BF8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69949" y="3894249"/>
          <a:ext cx="660302" cy="674983"/>
        </a:xfrm>
        <a:prstGeom prst="rect">
          <a:avLst/>
        </a:prstGeom>
      </xdr:spPr>
    </xdr:pic>
    <xdr:clientData/>
  </xdr:twoCellAnchor>
  <xdr:twoCellAnchor>
    <xdr:from>
      <xdr:col>0</xdr:col>
      <xdr:colOff>496551</xdr:colOff>
      <xdr:row>16</xdr:row>
      <xdr:rowOff>66503</xdr:rowOff>
    </xdr:from>
    <xdr:to>
      <xdr:col>0</xdr:col>
      <xdr:colOff>1123951</xdr:colOff>
      <xdr:row>19</xdr:row>
      <xdr:rowOff>143434</xdr:rowOff>
    </xdr:to>
    <xdr:pic>
      <xdr:nvPicPr>
        <xdr:cNvPr id="31" name="Graphic 30" descr="Stethoscope with solid fill">
          <a:hlinkClick xmlns:r="http://schemas.openxmlformats.org/officeDocument/2006/relationships" r:id="rId13" tooltip="Move to &quot;patients&quot; table"/>
          <a:extLst>
            <a:ext uri="{FF2B5EF4-FFF2-40B4-BE49-F238E27FC236}">
              <a16:creationId xmlns:a16="http://schemas.microsoft.com/office/drawing/2014/main" id="{11AEAB1E-6856-485C-8E61-4817EE913CB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96551" y="3114503"/>
          <a:ext cx="627400" cy="648431"/>
        </a:xfrm>
        <a:prstGeom prst="rect">
          <a:avLst/>
        </a:prstGeom>
      </xdr:spPr>
    </xdr:pic>
    <xdr:clientData/>
  </xdr:twoCellAnchor>
  <xdr:twoCellAnchor>
    <xdr:from>
      <xdr:col>0</xdr:col>
      <xdr:colOff>454497</xdr:colOff>
      <xdr:row>3</xdr:row>
      <xdr:rowOff>0</xdr:rowOff>
    </xdr:from>
    <xdr:to>
      <xdr:col>0</xdr:col>
      <xdr:colOff>1145703</xdr:colOff>
      <xdr:row>6</xdr:row>
      <xdr:rowOff>142876</xdr:rowOff>
    </xdr:to>
    <xdr:pic>
      <xdr:nvPicPr>
        <xdr:cNvPr id="32" name="Graphic 31" descr="Presentation with bar chart with solid fill">
          <a:hlinkClick xmlns:r="http://schemas.openxmlformats.org/officeDocument/2006/relationships" r:id="rId16" tooltip="Move to &quot;dashboard&quot; table"/>
          <a:extLst>
            <a:ext uri="{FF2B5EF4-FFF2-40B4-BE49-F238E27FC236}">
              <a16:creationId xmlns:a16="http://schemas.microsoft.com/office/drawing/2014/main" id="{6F5885E0-BCD8-4982-9ACE-A517CE0C9F7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54497" y="571500"/>
          <a:ext cx="691206" cy="714376"/>
        </a:xfrm>
        <a:prstGeom prst="rect">
          <a:avLst/>
        </a:prstGeom>
      </xdr:spPr>
    </xdr:pic>
    <xdr:clientData/>
  </xdr:twoCellAnchor>
  <xdr:twoCellAnchor editAs="oneCell">
    <xdr:from>
      <xdr:col>0</xdr:col>
      <xdr:colOff>451784</xdr:colOff>
      <xdr:row>7</xdr:row>
      <xdr:rowOff>112993</xdr:rowOff>
    </xdr:from>
    <xdr:to>
      <xdr:col>0</xdr:col>
      <xdr:colOff>1148416</xdr:colOff>
      <xdr:row>11</xdr:row>
      <xdr:rowOff>47625</xdr:rowOff>
    </xdr:to>
    <xdr:pic>
      <xdr:nvPicPr>
        <xdr:cNvPr id="36" name="Graphic 35" descr="Bar chart with solid fill">
          <a:hlinkClick xmlns:r="http://schemas.openxmlformats.org/officeDocument/2006/relationships" r:id="rId19" tooltip="Move to &quot;specific_info&quot; table"/>
          <a:extLst>
            <a:ext uri="{FF2B5EF4-FFF2-40B4-BE49-F238E27FC236}">
              <a16:creationId xmlns:a16="http://schemas.microsoft.com/office/drawing/2014/main" id="{6494CA03-5333-4830-B04A-BE001F9F5D4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51784" y="1446493"/>
          <a:ext cx="696632" cy="696632"/>
        </a:xfrm>
        <a:prstGeom prst="rect">
          <a:avLst/>
        </a:prstGeom>
      </xdr:spPr>
    </xdr:pic>
    <xdr:clientData/>
  </xdr:twoCellAnchor>
  <xdr:twoCellAnchor>
    <xdr:from>
      <xdr:col>0</xdr:col>
      <xdr:colOff>0</xdr:colOff>
      <xdr:row>0</xdr:row>
      <xdr:rowOff>85725</xdr:rowOff>
    </xdr:from>
    <xdr:to>
      <xdr:col>1</xdr:col>
      <xdr:colOff>123825</xdr:colOff>
      <xdr:row>2</xdr:row>
      <xdr:rowOff>9525</xdr:rowOff>
    </xdr:to>
    <xdr:sp macro="" textlink="">
      <xdr:nvSpPr>
        <xdr:cNvPr id="37" name="TextBox 36">
          <a:extLst>
            <a:ext uri="{FF2B5EF4-FFF2-40B4-BE49-F238E27FC236}">
              <a16:creationId xmlns:a16="http://schemas.microsoft.com/office/drawing/2014/main" id="{775F75AC-3C6F-4A92-80CF-CBE5C54931FA}"/>
            </a:ext>
          </a:extLst>
        </xdr:cNvPr>
        <xdr:cNvSpPr txBox="1"/>
      </xdr:nvSpPr>
      <xdr:spPr>
        <a:xfrm>
          <a:off x="0" y="85725"/>
          <a:ext cx="17621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100">
              <a:latin typeface="Segoe UI Semibold" panose="020B0702040204020203" pitchFamily="34" charset="0"/>
              <a:cs typeface="Segoe UI Semibold" panose="020B0702040204020203" pitchFamily="34" charset="0"/>
            </a:rPr>
            <a:t>Click to go to the table:</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0</xdr:col>
      <xdr:colOff>409575</xdr:colOff>
      <xdr:row>2</xdr:row>
      <xdr:rowOff>190499</xdr:rowOff>
    </xdr:from>
    <xdr:to>
      <xdr:col>0</xdr:col>
      <xdr:colOff>1190775</xdr:colOff>
      <xdr:row>6</xdr:row>
      <xdr:rowOff>134099</xdr:rowOff>
    </xdr:to>
    <xdr:sp macro="" textlink="">
      <xdr:nvSpPr>
        <xdr:cNvPr id="39" name="Rectangle 38">
          <a:extLst>
            <a:ext uri="{FF2B5EF4-FFF2-40B4-BE49-F238E27FC236}">
              <a16:creationId xmlns:a16="http://schemas.microsoft.com/office/drawing/2014/main" id="{0DD9BD31-C5B4-4AF7-B0AD-C7B628C8F241}"/>
            </a:ext>
          </a:extLst>
        </xdr:cNvPr>
        <xdr:cNvSpPr/>
      </xdr:nvSpPr>
      <xdr:spPr>
        <a:xfrm>
          <a:off x="409575" y="571499"/>
          <a:ext cx="781200" cy="70560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7</xdr:row>
      <xdr:rowOff>71999</xdr:rowOff>
    </xdr:from>
    <xdr:to>
      <xdr:col>0</xdr:col>
      <xdr:colOff>1190625</xdr:colOff>
      <xdr:row>11</xdr:row>
      <xdr:rowOff>14849</xdr:rowOff>
    </xdr:to>
    <xdr:sp macro="" textlink="">
      <xdr:nvSpPr>
        <xdr:cNvPr id="40" name="Rectangle 39">
          <a:extLst>
            <a:ext uri="{FF2B5EF4-FFF2-40B4-BE49-F238E27FC236}">
              <a16:creationId xmlns:a16="http://schemas.microsoft.com/office/drawing/2014/main" id="{6D4E935C-F654-4107-8BFF-5172A82D7587}"/>
            </a:ext>
          </a:extLst>
        </xdr:cNvPr>
        <xdr:cNvSpPr/>
      </xdr:nvSpPr>
      <xdr:spPr>
        <a:xfrm>
          <a:off x="409575" y="140549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11</xdr:row>
      <xdr:rowOff>143249</xdr:rowOff>
    </xdr:from>
    <xdr:to>
      <xdr:col>0</xdr:col>
      <xdr:colOff>1190625</xdr:colOff>
      <xdr:row>15</xdr:row>
      <xdr:rowOff>86099</xdr:rowOff>
    </xdr:to>
    <xdr:sp macro="" textlink="">
      <xdr:nvSpPr>
        <xdr:cNvPr id="41" name="Rectangle 40">
          <a:extLst>
            <a:ext uri="{FF2B5EF4-FFF2-40B4-BE49-F238E27FC236}">
              <a16:creationId xmlns:a16="http://schemas.microsoft.com/office/drawing/2014/main" id="{57974464-D7E0-4409-A321-0BFBF19AE3E4}"/>
            </a:ext>
          </a:extLst>
        </xdr:cNvPr>
        <xdr:cNvSpPr/>
      </xdr:nvSpPr>
      <xdr:spPr>
        <a:xfrm>
          <a:off x="409575" y="223874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16</xdr:row>
      <xdr:rowOff>23999</xdr:rowOff>
    </xdr:from>
    <xdr:to>
      <xdr:col>0</xdr:col>
      <xdr:colOff>1190625</xdr:colOff>
      <xdr:row>19</xdr:row>
      <xdr:rowOff>157349</xdr:rowOff>
    </xdr:to>
    <xdr:sp macro="" textlink="">
      <xdr:nvSpPr>
        <xdr:cNvPr id="42" name="Rectangle 41">
          <a:extLst>
            <a:ext uri="{FF2B5EF4-FFF2-40B4-BE49-F238E27FC236}">
              <a16:creationId xmlns:a16="http://schemas.microsoft.com/office/drawing/2014/main" id="{6E2A2F11-F8FD-4C0A-A707-971298459E84}"/>
            </a:ext>
          </a:extLst>
        </xdr:cNvPr>
        <xdr:cNvSpPr/>
      </xdr:nvSpPr>
      <xdr:spPr>
        <a:xfrm>
          <a:off x="409575" y="307199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20</xdr:row>
      <xdr:rowOff>95250</xdr:rowOff>
    </xdr:from>
    <xdr:to>
      <xdr:col>0</xdr:col>
      <xdr:colOff>1190625</xdr:colOff>
      <xdr:row>24</xdr:row>
      <xdr:rowOff>38100</xdr:rowOff>
    </xdr:to>
    <xdr:sp macro="" textlink="">
      <xdr:nvSpPr>
        <xdr:cNvPr id="43" name="Rectangle 42">
          <a:extLst>
            <a:ext uri="{FF2B5EF4-FFF2-40B4-BE49-F238E27FC236}">
              <a16:creationId xmlns:a16="http://schemas.microsoft.com/office/drawing/2014/main" id="{9C739D8E-0228-4ED4-921C-D60356C2E504}"/>
            </a:ext>
          </a:extLst>
        </xdr:cNvPr>
        <xdr:cNvSpPr/>
      </xdr:nvSpPr>
      <xdr:spPr>
        <a:xfrm>
          <a:off x="409575" y="3905250"/>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22</xdr:col>
      <xdr:colOff>95251</xdr:colOff>
      <xdr:row>18</xdr:row>
      <xdr:rowOff>47625</xdr:rowOff>
    </xdr:from>
    <xdr:to>
      <xdr:col>31</xdr:col>
      <xdr:colOff>428625</xdr:colOff>
      <xdr:row>53</xdr:row>
      <xdr:rowOff>123824</xdr:rowOff>
    </xdr:to>
    <xdr:sp macro="" textlink="">
      <xdr:nvSpPr>
        <xdr:cNvPr id="25" name="Rectangle: Rounded Corners 24">
          <a:extLst>
            <a:ext uri="{FF2B5EF4-FFF2-40B4-BE49-F238E27FC236}">
              <a16:creationId xmlns:a16="http://schemas.microsoft.com/office/drawing/2014/main" id="{AF4A71C6-5FCD-45F9-929C-494198712FB4}"/>
            </a:ext>
          </a:extLst>
        </xdr:cNvPr>
        <xdr:cNvSpPr/>
      </xdr:nvSpPr>
      <xdr:spPr>
        <a:xfrm>
          <a:off x="14401801" y="3476625"/>
          <a:ext cx="5819774" cy="6743699"/>
        </a:xfrm>
        <a:prstGeom prst="roundRect">
          <a:avLst>
            <a:gd name="adj" fmla="val 25078"/>
          </a:avLst>
        </a:prstGeom>
        <a:solidFill>
          <a:srgbClr val="E0C1B3">
            <a:alpha val="90000"/>
          </a:srgb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a:solidFill>
              <a:sysClr val="windowText" lastClr="000000"/>
            </a:solidFill>
          </a:endParaRPr>
        </a:p>
      </xdr:txBody>
    </xdr:sp>
    <xdr:clientData/>
  </xdr:twoCellAnchor>
  <xdr:twoCellAnchor>
    <xdr:from>
      <xdr:col>12</xdr:col>
      <xdr:colOff>57151</xdr:colOff>
      <xdr:row>27</xdr:row>
      <xdr:rowOff>133351</xdr:rowOff>
    </xdr:from>
    <xdr:to>
      <xdr:col>21</xdr:col>
      <xdr:colOff>390525</xdr:colOff>
      <xdr:row>47</xdr:row>
      <xdr:rowOff>1</xdr:rowOff>
    </xdr:to>
    <xdr:sp macro="" textlink="">
      <xdr:nvSpPr>
        <xdr:cNvPr id="19" name="Rectangle: Rounded Corners 18">
          <a:extLst>
            <a:ext uri="{FF2B5EF4-FFF2-40B4-BE49-F238E27FC236}">
              <a16:creationId xmlns:a16="http://schemas.microsoft.com/office/drawing/2014/main" id="{9544B2C2-A154-4633-ADB4-D0EE56775692}"/>
            </a:ext>
          </a:extLst>
        </xdr:cNvPr>
        <xdr:cNvSpPr/>
      </xdr:nvSpPr>
      <xdr:spPr>
        <a:xfrm>
          <a:off x="8267701" y="5276851"/>
          <a:ext cx="5819774" cy="3676650"/>
        </a:xfrm>
        <a:prstGeom prst="roundRect">
          <a:avLst>
            <a:gd name="adj" fmla="val 25078"/>
          </a:avLst>
        </a:prstGeom>
        <a:solidFill>
          <a:srgbClr val="E0C1B3">
            <a:alpha val="90000"/>
          </a:srgb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a:solidFill>
              <a:sysClr val="windowText" lastClr="000000"/>
            </a:solidFill>
          </a:endParaRPr>
        </a:p>
      </xdr:txBody>
    </xdr:sp>
    <xdr:clientData/>
  </xdr:twoCellAnchor>
  <xdr:twoCellAnchor>
    <xdr:from>
      <xdr:col>11</xdr:col>
      <xdr:colOff>552451</xdr:colOff>
      <xdr:row>4</xdr:row>
      <xdr:rowOff>171451</xdr:rowOff>
    </xdr:from>
    <xdr:to>
      <xdr:col>21</xdr:col>
      <xdr:colOff>276225</xdr:colOff>
      <xdr:row>24</xdr:row>
      <xdr:rowOff>38101</xdr:rowOff>
    </xdr:to>
    <xdr:sp macro="" textlink="">
      <xdr:nvSpPr>
        <xdr:cNvPr id="16" name="Rectangle: Rounded Corners 15">
          <a:extLst>
            <a:ext uri="{FF2B5EF4-FFF2-40B4-BE49-F238E27FC236}">
              <a16:creationId xmlns:a16="http://schemas.microsoft.com/office/drawing/2014/main" id="{46A3F4E2-4877-4C0D-A51C-B9230A84660C}"/>
            </a:ext>
          </a:extLst>
        </xdr:cNvPr>
        <xdr:cNvSpPr/>
      </xdr:nvSpPr>
      <xdr:spPr>
        <a:xfrm>
          <a:off x="8153401" y="933451"/>
          <a:ext cx="5819774" cy="3676650"/>
        </a:xfrm>
        <a:prstGeom prst="roundRect">
          <a:avLst>
            <a:gd name="adj" fmla="val 25078"/>
          </a:avLst>
        </a:prstGeom>
        <a:solidFill>
          <a:srgbClr val="E0C1B3">
            <a:alpha val="90000"/>
          </a:srgb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a:solidFill>
              <a:sysClr val="windowText" lastClr="000000"/>
            </a:solidFill>
          </a:endParaRPr>
        </a:p>
      </xdr:txBody>
    </xdr:sp>
    <xdr:clientData/>
  </xdr:twoCellAnchor>
  <xdr:twoCellAnchor editAs="oneCell">
    <xdr:from>
      <xdr:col>0</xdr:col>
      <xdr:colOff>9524</xdr:colOff>
      <xdr:row>41</xdr:row>
      <xdr:rowOff>40275</xdr:rowOff>
    </xdr:from>
    <xdr:to>
      <xdr:col>1</xdr:col>
      <xdr:colOff>9525</xdr:colOff>
      <xdr:row>55</xdr:row>
      <xdr:rowOff>40275</xdr:rowOff>
    </xdr:to>
    <mc:AlternateContent xmlns:mc="http://schemas.openxmlformats.org/markup-compatibility/2006" xmlns:a14="http://schemas.microsoft.com/office/drawing/2010/main">
      <mc:Choice Requires="a14">
        <xdr:graphicFrame macro="">
          <xdr:nvGraphicFramePr>
            <xdr:cNvPr id="2" name="age_group 2">
              <a:extLst>
                <a:ext uri="{FF2B5EF4-FFF2-40B4-BE49-F238E27FC236}">
                  <a16:creationId xmlns:a16="http://schemas.microsoft.com/office/drawing/2014/main" id="{2C0A0684-3CEB-4B03-8113-DDBFFCC3425F}"/>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9524" y="7850775"/>
              <a:ext cx="1495425" cy="266700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62325</xdr:rowOff>
    </xdr:from>
    <xdr:to>
      <xdr:col>1</xdr:col>
      <xdr:colOff>9524</xdr:colOff>
      <xdr:row>41</xdr:row>
      <xdr:rowOff>62325</xdr:rowOff>
    </xdr:to>
    <mc:AlternateContent xmlns:mc="http://schemas.openxmlformats.org/markup-compatibility/2006" xmlns:a14="http://schemas.microsoft.com/office/drawing/2010/main">
      <mc:Choice Requires="a14">
        <xdr:graphicFrame macro="">
          <xdr:nvGraphicFramePr>
            <xdr:cNvPr id="3" name="service 3">
              <a:extLst>
                <a:ext uri="{FF2B5EF4-FFF2-40B4-BE49-F238E27FC236}">
                  <a16:creationId xmlns:a16="http://schemas.microsoft.com/office/drawing/2014/main" id="{071EC2F9-553F-4B2D-81FF-69BEE99A655D}"/>
                </a:ext>
              </a:extLst>
            </xdr:cNvPr>
            <xdr:cNvGraphicFramePr/>
          </xdr:nvGraphicFramePr>
          <xdr:xfrm>
            <a:off x="0" y="0"/>
            <a:ext cx="0" cy="0"/>
          </xdr:xfrm>
          <a:graphic>
            <a:graphicData uri="http://schemas.microsoft.com/office/drawing/2010/slicer">
              <sle:slicer xmlns:sle="http://schemas.microsoft.com/office/drawing/2010/slicer" name="service 3"/>
            </a:graphicData>
          </a:graphic>
        </xdr:graphicFrame>
      </mc:Choice>
      <mc:Fallback xmlns="">
        <xdr:sp macro="" textlink="">
          <xdr:nvSpPr>
            <xdr:cNvPr id="0" name=""/>
            <xdr:cNvSpPr>
              <a:spLocks noTextEdit="1"/>
            </xdr:cNvSpPr>
          </xdr:nvSpPr>
          <xdr:spPr>
            <a:xfrm>
              <a:off x="0" y="5205825"/>
              <a:ext cx="1504950" cy="266700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409429</xdr:colOff>
      <xdr:row>11</xdr:row>
      <xdr:rowOff>104775</xdr:rowOff>
    </xdr:from>
    <xdr:to>
      <xdr:col>0</xdr:col>
      <xdr:colOff>1190772</xdr:colOff>
      <xdr:row>15</xdr:row>
      <xdr:rowOff>95250</xdr:rowOff>
    </xdr:to>
    <xdr:pic>
      <xdr:nvPicPr>
        <xdr:cNvPr id="5" name="Graphic 4" descr="Employee badge with solid fill">
          <a:hlinkClick xmlns:r="http://schemas.openxmlformats.org/officeDocument/2006/relationships" r:id="rId1" tooltip="Move to &quot;staff&quot; table"/>
          <a:extLst>
            <a:ext uri="{FF2B5EF4-FFF2-40B4-BE49-F238E27FC236}">
              <a16:creationId xmlns:a16="http://schemas.microsoft.com/office/drawing/2014/main" id="{BE7ECB29-0733-4C68-B4AA-F26A0171B01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09429" y="2200275"/>
          <a:ext cx="781343" cy="752475"/>
        </a:xfrm>
        <a:prstGeom prst="rect">
          <a:avLst/>
        </a:prstGeom>
      </xdr:spPr>
    </xdr:pic>
    <xdr:clientData/>
  </xdr:twoCellAnchor>
  <xdr:twoCellAnchor>
    <xdr:from>
      <xdr:col>0</xdr:col>
      <xdr:colOff>469949</xdr:colOff>
      <xdr:row>20</xdr:row>
      <xdr:rowOff>84249</xdr:rowOff>
    </xdr:from>
    <xdr:to>
      <xdr:col>0</xdr:col>
      <xdr:colOff>1130251</xdr:colOff>
      <xdr:row>23</xdr:row>
      <xdr:rowOff>187732</xdr:rowOff>
    </xdr:to>
    <xdr:pic>
      <xdr:nvPicPr>
        <xdr:cNvPr id="6" name="Graphic 5" descr="Sleep with solid fill">
          <a:hlinkClick xmlns:r="http://schemas.openxmlformats.org/officeDocument/2006/relationships" r:id="rId4" tooltip="Move to &quot;services_weekly&quot; table"/>
          <a:extLst>
            <a:ext uri="{FF2B5EF4-FFF2-40B4-BE49-F238E27FC236}">
              <a16:creationId xmlns:a16="http://schemas.microsoft.com/office/drawing/2014/main" id="{0C5639A4-3BC5-451F-8BDF-B0D8488C1ED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9949" y="3894249"/>
          <a:ext cx="660302" cy="674983"/>
        </a:xfrm>
        <a:prstGeom prst="rect">
          <a:avLst/>
        </a:prstGeom>
      </xdr:spPr>
    </xdr:pic>
    <xdr:clientData/>
  </xdr:twoCellAnchor>
  <xdr:twoCellAnchor>
    <xdr:from>
      <xdr:col>0</xdr:col>
      <xdr:colOff>496551</xdr:colOff>
      <xdr:row>16</xdr:row>
      <xdr:rowOff>66503</xdr:rowOff>
    </xdr:from>
    <xdr:to>
      <xdr:col>0</xdr:col>
      <xdr:colOff>1123951</xdr:colOff>
      <xdr:row>19</xdr:row>
      <xdr:rowOff>143434</xdr:rowOff>
    </xdr:to>
    <xdr:pic>
      <xdr:nvPicPr>
        <xdr:cNvPr id="7" name="Graphic 6" descr="Stethoscope with solid fill">
          <a:hlinkClick xmlns:r="http://schemas.openxmlformats.org/officeDocument/2006/relationships" r:id="rId7" tooltip="Move to &quot;patients&quot; table"/>
          <a:extLst>
            <a:ext uri="{FF2B5EF4-FFF2-40B4-BE49-F238E27FC236}">
              <a16:creationId xmlns:a16="http://schemas.microsoft.com/office/drawing/2014/main" id="{D937B6D9-68DF-4AC4-8182-47F7BEA34F9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96551" y="3114503"/>
          <a:ext cx="627400" cy="648431"/>
        </a:xfrm>
        <a:prstGeom prst="rect">
          <a:avLst/>
        </a:prstGeom>
      </xdr:spPr>
    </xdr:pic>
    <xdr:clientData/>
  </xdr:twoCellAnchor>
  <xdr:twoCellAnchor>
    <xdr:from>
      <xdr:col>0</xdr:col>
      <xdr:colOff>454497</xdr:colOff>
      <xdr:row>3</xdr:row>
      <xdr:rowOff>0</xdr:rowOff>
    </xdr:from>
    <xdr:to>
      <xdr:col>0</xdr:col>
      <xdr:colOff>1145703</xdr:colOff>
      <xdr:row>6</xdr:row>
      <xdr:rowOff>142876</xdr:rowOff>
    </xdr:to>
    <xdr:pic>
      <xdr:nvPicPr>
        <xdr:cNvPr id="8" name="Graphic 7" descr="Presentation with bar chart with solid fill">
          <a:hlinkClick xmlns:r="http://schemas.openxmlformats.org/officeDocument/2006/relationships" r:id="rId10" tooltip="Move to &quot;dashboard&quot; table"/>
          <a:extLst>
            <a:ext uri="{FF2B5EF4-FFF2-40B4-BE49-F238E27FC236}">
              <a16:creationId xmlns:a16="http://schemas.microsoft.com/office/drawing/2014/main" id="{E66BE191-644D-4E42-89F7-BCBD99EFA79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4497" y="571500"/>
          <a:ext cx="691206" cy="714376"/>
        </a:xfrm>
        <a:prstGeom prst="rect">
          <a:avLst/>
        </a:prstGeom>
      </xdr:spPr>
    </xdr:pic>
    <xdr:clientData/>
  </xdr:twoCellAnchor>
  <xdr:twoCellAnchor>
    <xdr:from>
      <xdr:col>1</xdr:col>
      <xdr:colOff>171451</xdr:colOff>
      <xdr:row>4</xdr:row>
      <xdr:rowOff>152401</xdr:rowOff>
    </xdr:from>
    <xdr:to>
      <xdr:col>10</xdr:col>
      <xdr:colOff>504825</xdr:colOff>
      <xdr:row>24</xdr:row>
      <xdr:rowOff>19051</xdr:rowOff>
    </xdr:to>
    <xdr:sp macro="" textlink="">
      <xdr:nvSpPr>
        <xdr:cNvPr id="10" name="Rectangle: Rounded Corners 9">
          <a:extLst>
            <a:ext uri="{FF2B5EF4-FFF2-40B4-BE49-F238E27FC236}">
              <a16:creationId xmlns:a16="http://schemas.microsoft.com/office/drawing/2014/main" id="{427637AD-FD4F-4569-B9D4-27C8F3EA4444}"/>
            </a:ext>
          </a:extLst>
        </xdr:cNvPr>
        <xdr:cNvSpPr/>
      </xdr:nvSpPr>
      <xdr:spPr>
        <a:xfrm>
          <a:off x="1676401" y="914401"/>
          <a:ext cx="5819774" cy="3676650"/>
        </a:xfrm>
        <a:prstGeom prst="roundRect">
          <a:avLst>
            <a:gd name="adj" fmla="val 25078"/>
          </a:avLst>
        </a:prstGeom>
        <a:solidFill>
          <a:srgbClr val="E0C1B3">
            <a:alpha val="90000"/>
          </a:srgb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a:solidFill>
              <a:sysClr val="windowText" lastClr="000000"/>
            </a:solidFill>
          </a:endParaRPr>
        </a:p>
      </xdr:txBody>
    </xdr:sp>
    <xdr:clientData/>
  </xdr:twoCellAnchor>
  <xdr:twoCellAnchor>
    <xdr:from>
      <xdr:col>1</xdr:col>
      <xdr:colOff>200024</xdr:colOff>
      <xdr:row>5</xdr:row>
      <xdr:rowOff>47625</xdr:rowOff>
    </xdr:from>
    <xdr:to>
      <xdr:col>10</xdr:col>
      <xdr:colOff>540732</xdr:colOff>
      <xdr:row>7</xdr:row>
      <xdr:rowOff>17629</xdr:rowOff>
    </xdr:to>
    <xdr:sp macro="" textlink="">
      <xdr:nvSpPr>
        <xdr:cNvPr id="11" name="TextBox 10">
          <a:extLst>
            <a:ext uri="{FF2B5EF4-FFF2-40B4-BE49-F238E27FC236}">
              <a16:creationId xmlns:a16="http://schemas.microsoft.com/office/drawing/2014/main" id="{9AB9798A-BBA2-4B84-B9B0-468C80B33329}"/>
            </a:ext>
          </a:extLst>
        </xdr:cNvPr>
        <xdr:cNvSpPr txBox="1"/>
      </xdr:nvSpPr>
      <xdr:spPr>
        <a:xfrm>
          <a:off x="1838324" y="1000125"/>
          <a:ext cx="5827108" cy="351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a:solidFill>
                <a:sysClr val="windowText" lastClr="000000"/>
              </a:solidFill>
              <a:latin typeface="Segoe UI Semibold" panose="020B0702040204020203" pitchFamily="34" charset="0"/>
              <a:cs typeface="Segoe UI Semibold" panose="020B0702040204020203" pitchFamily="34" charset="0"/>
            </a:rPr>
            <a:t>Hospital admissions by month</a:t>
          </a:r>
        </a:p>
        <a:p>
          <a:pPr algn="ctr"/>
          <a:endParaRPr lang="pl-PL" sz="16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161925</xdr:colOff>
      <xdr:row>8</xdr:row>
      <xdr:rowOff>119062</xdr:rowOff>
    </xdr:from>
    <xdr:to>
      <xdr:col>9</xdr:col>
      <xdr:colOff>466725</xdr:colOff>
      <xdr:row>23</xdr:row>
      <xdr:rowOff>4762</xdr:rowOff>
    </xdr:to>
    <xdr:graphicFrame macro="">
      <xdr:nvGraphicFramePr>
        <xdr:cNvPr id="12" name="Chart 2">
          <a:extLst>
            <a:ext uri="{FF2B5EF4-FFF2-40B4-BE49-F238E27FC236}">
              <a16:creationId xmlns:a16="http://schemas.microsoft.com/office/drawing/2014/main" id="{E0FD9501-5BC0-5762-0ED7-BCF6C9F2C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180976</xdr:colOff>
      <xdr:row>27</xdr:row>
      <xdr:rowOff>57151</xdr:rowOff>
    </xdr:from>
    <xdr:to>
      <xdr:col>10</xdr:col>
      <xdr:colOff>514350</xdr:colOff>
      <xdr:row>46</xdr:row>
      <xdr:rowOff>114301</xdr:rowOff>
    </xdr:to>
    <xdr:sp macro="" textlink="">
      <xdr:nvSpPr>
        <xdr:cNvPr id="14" name="Rectangle: Rounded Corners 13">
          <a:extLst>
            <a:ext uri="{FF2B5EF4-FFF2-40B4-BE49-F238E27FC236}">
              <a16:creationId xmlns:a16="http://schemas.microsoft.com/office/drawing/2014/main" id="{D83D5938-CDCE-435D-B941-6F0C6F4428CF}"/>
            </a:ext>
          </a:extLst>
        </xdr:cNvPr>
        <xdr:cNvSpPr/>
      </xdr:nvSpPr>
      <xdr:spPr>
        <a:xfrm>
          <a:off x="1685926" y="5200651"/>
          <a:ext cx="5819774" cy="3676650"/>
        </a:xfrm>
        <a:prstGeom prst="roundRect">
          <a:avLst>
            <a:gd name="adj" fmla="val 25078"/>
          </a:avLst>
        </a:prstGeom>
        <a:solidFill>
          <a:srgbClr val="E0C1B3">
            <a:alpha val="90000"/>
          </a:srgb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a:solidFill>
              <a:sysClr val="windowText" lastClr="000000"/>
            </a:solidFill>
          </a:endParaRPr>
        </a:p>
      </xdr:txBody>
    </xdr:sp>
    <xdr:clientData/>
  </xdr:twoCellAnchor>
  <xdr:twoCellAnchor>
    <xdr:from>
      <xdr:col>2</xdr:col>
      <xdr:colOff>200025</xdr:colOff>
      <xdr:row>31</xdr:row>
      <xdr:rowOff>147637</xdr:rowOff>
    </xdr:from>
    <xdr:to>
      <xdr:col>9</xdr:col>
      <xdr:colOff>504825</xdr:colOff>
      <xdr:row>46</xdr:row>
      <xdr:rowOff>33337</xdr:rowOff>
    </xdr:to>
    <xdr:graphicFrame macro="">
      <xdr:nvGraphicFramePr>
        <xdr:cNvPr id="13" name="Chart 3">
          <a:extLst>
            <a:ext uri="{FF2B5EF4-FFF2-40B4-BE49-F238E27FC236}">
              <a16:creationId xmlns:a16="http://schemas.microsoft.com/office/drawing/2014/main" id="{9DF06503-98C7-7C10-A83C-773A15B09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219075</xdr:colOff>
      <xdr:row>28</xdr:row>
      <xdr:rowOff>38100</xdr:rowOff>
    </xdr:from>
    <xdr:to>
      <xdr:col>10</xdr:col>
      <xdr:colOff>495301</xdr:colOff>
      <xdr:row>30</xdr:row>
      <xdr:rowOff>38100</xdr:rowOff>
    </xdr:to>
    <xdr:sp macro="" textlink="">
      <xdr:nvSpPr>
        <xdr:cNvPr id="15" name="TextBox 14">
          <a:extLst>
            <a:ext uri="{FF2B5EF4-FFF2-40B4-BE49-F238E27FC236}">
              <a16:creationId xmlns:a16="http://schemas.microsoft.com/office/drawing/2014/main" id="{272A54D2-8CE3-419D-9497-22A72E9F6538}"/>
            </a:ext>
          </a:extLst>
        </xdr:cNvPr>
        <xdr:cNvSpPr txBox="1"/>
      </xdr:nvSpPr>
      <xdr:spPr>
        <a:xfrm>
          <a:off x="1724025" y="5372100"/>
          <a:ext cx="576262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a:solidFill>
                <a:sysClr val="windowText" lastClr="000000"/>
              </a:solidFill>
              <a:latin typeface="Segoe UI Semibold" panose="020B0702040204020203" pitchFamily="34" charset="0"/>
              <a:cs typeface="Segoe UI Semibold" panose="020B0702040204020203" pitchFamily="34" charset="0"/>
            </a:rPr>
            <a:t>Bed occupancy by month</a:t>
          </a:r>
        </a:p>
        <a:p>
          <a:pPr algn="ctr"/>
          <a:endParaRPr lang="pl-PL" sz="16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9525</xdr:colOff>
      <xdr:row>8</xdr:row>
      <xdr:rowOff>80962</xdr:rowOff>
    </xdr:from>
    <xdr:to>
      <xdr:col>20</xdr:col>
      <xdr:colOff>314325</xdr:colOff>
      <xdr:row>22</xdr:row>
      <xdr:rowOff>157162</xdr:rowOff>
    </xdr:to>
    <xdr:graphicFrame macro="">
      <xdr:nvGraphicFramePr>
        <xdr:cNvPr id="9" name="Chart 1">
          <a:extLst>
            <a:ext uri="{FF2B5EF4-FFF2-40B4-BE49-F238E27FC236}">
              <a16:creationId xmlns:a16="http://schemas.microsoft.com/office/drawing/2014/main" id="{B8BDB3C5-3AE2-7407-5E68-1F615D729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542924</xdr:colOff>
      <xdr:row>5</xdr:row>
      <xdr:rowOff>104775</xdr:rowOff>
    </xdr:from>
    <xdr:to>
      <xdr:col>21</xdr:col>
      <xdr:colOff>200025</xdr:colOff>
      <xdr:row>7</xdr:row>
      <xdr:rowOff>104775</xdr:rowOff>
    </xdr:to>
    <xdr:sp macro="" textlink="">
      <xdr:nvSpPr>
        <xdr:cNvPr id="17" name="TextBox 16">
          <a:extLst>
            <a:ext uri="{FF2B5EF4-FFF2-40B4-BE49-F238E27FC236}">
              <a16:creationId xmlns:a16="http://schemas.microsoft.com/office/drawing/2014/main" id="{DCF904FB-4F8D-4ECA-AE6C-94B1AC99809F}"/>
            </a:ext>
          </a:extLst>
        </xdr:cNvPr>
        <xdr:cNvSpPr txBox="1"/>
      </xdr:nvSpPr>
      <xdr:spPr>
        <a:xfrm>
          <a:off x="8143874" y="1057275"/>
          <a:ext cx="575310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a:solidFill>
                <a:sysClr val="windowText" lastClr="000000"/>
              </a:solidFill>
              <a:latin typeface="Segoe UI Semibold" panose="020B0702040204020203" pitchFamily="34" charset="0"/>
              <a:cs typeface="Segoe UI Semibold" panose="020B0702040204020203" pitchFamily="34" charset="0"/>
            </a:rPr>
            <a:t>Average satisfaction by service</a:t>
          </a:r>
        </a:p>
        <a:p>
          <a:pPr algn="ctr"/>
          <a:endParaRPr lang="pl-PL" sz="16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61912</xdr:colOff>
      <xdr:row>32</xdr:row>
      <xdr:rowOff>4762</xdr:rowOff>
    </xdr:from>
    <xdr:to>
      <xdr:col>20</xdr:col>
      <xdr:colOff>366712</xdr:colOff>
      <xdr:row>46</xdr:row>
      <xdr:rowOff>80962</xdr:rowOff>
    </xdr:to>
    <xdr:graphicFrame macro="">
      <xdr:nvGraphicFramePr>
        <xdr:cNvPr id="18" name="Chart 1">
          <a:extLst>
            <a:ext uri="{FF2B5EF4-FFF2-40B4-BE49-F238E27FC236}">
              <a16:creationId xmlns:a16="http://schemas.microsoft.com/office/drawing/2014/main" id="{F0C1FA07-F5B3-9ACC-7305-25C28CCE5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152399</xdr:colOff>
      <xdr:row>28</xdr:row>
      <xdr:rowOff>171450</xdr:rowOff>
    </xdr:from>
    <xdr:to>
      <xdr:col>21</xdr:col>
      <xdr:colOff>419100</xdr:colOff>
      <xdr:row>30</xdr:row>
      <xdr:rowOff>171450</xdr:rowOff>
    </xdr:to>
    <xdr:sp macro="" textlink="">
      <xdr:nvSpPr>
        <xdr:cNvPr id="20" name="TextBox 19">
          <a:extLst>
            <a:ext uri="{FF2B5EF4-FFF2-40B4-BE49-F238E27FC236}">
              <a16:creationId xmlns:a16="http://schemas.microsoft.com/office/drawing/2014/main" id="{7862937E-73B1-4C1C-8769-4DC63F1A9153}"/>
            </a:ext>
          </a:extLst>
        </xdr:cNvPr>
        <xdr:cNvSpPr txBox="1"/>
      </xdr:nvSpPr>
      <xdr:spPr>
        <a:xfrm>
          <a:off x="8362949" y="5505450"/>
          <a:ext cx="575310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a:solidFill>
                <a:sysClr val="windowText" lastClr="000000"/>
              </a:solidFill>
              <a:latin typeface="Segoe UI Semibold" panose="020B0702040204020203" pitchFamily="34" charset="0"/>
              <a:cs typeface="Segoe UI Semibold" panose="020B0702040204020203" pitchFamily="34" charset="0"/>
            </a:rPr>
            <a:t>Average stay by age</a:t>
          </a:r>
        </a:p>
        <a:p>
          <a:pPr algn="ctr"/>
          <a:endParaRPr lang="pl-PL" sz="16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24</xdr:col>
      <xdr:colOff>95250</xdr:colOff>
      <xdr:row>4</xdr:row>
      <xdr:rowOff>114300</xdr:rowOff>
    </xdr:from>
    <xdr:to>
      <xdr:col>29</xdr:col>
      <xdr:colOff>373839</xdr:colOff>
      <xdr:row>14</xdr:row>
      <xdr:rowOff>76200</xdr:rowOff>
    </xdr:to>
    <xdr:sp macro="" textlink="">
      <xdr:nvSpPr>
        <xdr:cNvPr id="21" name="Rectangle: Rounded Corners 20">
          <a:extLst>
            <a:ext uri="{FF2B5EF4-FFF2-40B4-BE49-F238E27FC236}">
              <a16:creationId xmlns:a16="http://schemas.microsoft.com/office/drawing/2014/main" id="{87F91A91-DF75-40EA-97FF-95231EAE7095}"/>
            </a:ext>
          </a:extLst>
        </xdr:cNvPr>
        <xdr:cNvSpPr/>
      </xdr:nvSpPr>
      <xdr:spPr>
        <a:xfrm>
          <a:off x="15621000" y="876300"/>
          <a:ext cx="3326589" cy="1866900"/>
        </a:xfrm>
        <a:prstGeom prst="roundRect">
          <a:avLst>
            <a:gd name="adj" fmla="val 25078"/>
          </a:avLst>
        </a:prstGeom>
        <a:solidFill>
          <a:srgbClr val="E0C1B3">
            <a:alpha val="90000"/>
          </a:srgb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a:p>
      </xdr:txBody>
    </xdr:sp>
    <xdr:clientData/>
  </xdr:twoCellAnchor>
  <xdr:twoCellAnchor>
    <xdr:from>
      <xdr:col>24</xdr:col>
      <xdr:colOff>152400</xdr:colOff>
      <xdr:row>5</xdr:row>
      <xdr:rowOff>0</xdr:rowOff>
    </xdr:from>
    <xdr:to>
      <xdr:col>29</xdr:col>
      <xdr:colOff>304800</xdr:colOff>
      <xdr:row>6</xdr:row>
      <xdr:rowOff>152401</xdr:rowOff>
    </xdr:to>
    <xdr:sp macro="" textlink="">
      <xdr:nvSpPr>
        <xdr:cNvPr id="22" name="TextBox 21">
          <a:extLst>
            <a:ext uri="{FF2B5EF4-FFF2-40B4-BE49-F238E27FC236}">
              <a16:creationId xmlns:a16="http://schemas.microsoft.com/office/drawing/2014/main" id="{BCFB7329-BA5D-463E-935E-359DDEC8BF61}"/>
            </a:ext>
          </a:extLst>
        </xdr:cNvPr>
        <xdr:cNvSpPr txBox="1"/>
      </xdr:nvSpPr>
      <xdr:spPr>
        <a:xfrm>
          <a:off x="15678150" y="952500"/>
          <a:ext cx="3200400"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a:latin typeface="Segoe UI Semibold" panose="020B0702040204020203" pitchFamily="34" charset="0"/>
              <a:cs typeface="Segoe UI Semibold" panose="020B0702040204020203" pitchFamily="34" charset="0"/>
            </a:rPr>
            <a:t>Average age of patients</a:t>
          </a:r>
        </a:p>
      </xdr:txBody>
    </xdr:sp>
    <xdr:clientData/>
  </xdr:twoCellAnchor>
  <xdr:twoCellAnchor>
    <xdr:from>
      <xdr:col>24</xdr:col>
      <xdr:colOff>66675</xdr:colOff>
      <xdr:row>8</xdr:row>
      <xdr:rowOff>9525</xdr:rowOff>
    </xdr:from>
    <xdr:to>
      <xdr:col>29</xdr:col>
      <xdr:colOff>352425</xdr:colOff>
      <xdr:row>13</xdr:row>
      <xdr:rowOff>66675</xdr:rowOff>
    </xdr:to>
    <xdr:sp macro="" textlink="">
      <xdr:nvSpPr>
        <xdr:cNvPr id="23" name="TextBox 22">
          <a:extLst>
            <a:ext uri="{FF2B5EF4-FFF2-40B4-BE49-F238E27FC236}">
              <a16:creationId xmlns:a16="http://schemas.microsoft.com/office/drawing/2014/main" id="{2FBDA9FB-C502-4DB4-85A3-293410C628B4}"/>
            </a:ext>
          </a:extLst>
        </xdr:cNvPr>
        <xdr:cNvSpPr txBox="1"/>
      </xdr:nvSpPr>
      <xdr:spPr>
        <a:xfrm>
          <a:off x="15592425" y="1533525"/>
          <a:ext cx="3333750"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4400">
              <a:latin typeface="Segoe UI" panose="020B0502040204020203" pitchFamily="34" charset="0"/>
              <a:cs typeface="Segoe UI" panose="020B0502040204020203" pitchFamily="34" charset="0"/>
            </a:rPr>
            <a:t>45,3</a:t>
          </a:r>
        </a:p>
      </xdr:txBody>
    </xdr:sp>
    <xdr:clientData/>
  </xdr:twoCellAnchor>
  <xdr:twoCellAnchor>
    <xdr:from>
      <xdr:col>23</xdr:col>
      <xdr:colOff>200025</xdr:colOff>
      <xdr:row>27</xdr:row>
      <xdr:rowOff>119061</xdr:rowOff>
    </xdr:from>
    <xdr:to>
      <xdr:col>30</xdr:col>
      <xdr:colOff>504825</xdr:colOff>
      <xdr:row>50</xdr:row>
      <xdr:rowOff>142875</xdr:rowOff>
    </xdr:to>
    <xdr:graphicFrame macro="">
      <xdr:nvGraphicFramePr>
        <xdr:cNvPr id="24" name="Chart 2">
          <a:extLst>
            <a:ext uri="{FF2B5EF4-FFF2-40B4-BE49-F238E27FC236}">
              <a16:creationId xmlns:a16="http://schemas.microsoft.com/office/drawing/2014/main" id="{B3475FAA-AAF4-0146-CBF3-4E1941E19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22</xdr:col>
      <xdr:colOff>133349</xdr:colOff>
      <xdr:row>21</xdr:row>
      <xdr:rowOff>19050</xdr:rowOff>
    </xdr:from>
    <xdr:to>
      <xdr:col>31</xdr:col>
      <xdr:colOff>400050</xdr:colOff>
      <xdr:row>23</xdr:row>
      <xdr:rowOff>19050</xdr:rowOff>
    </xdr:to>
    <xdr:sp macro="" textlink="">
      <xdr:nvSpPr>
        <xdr:cNvPr id="26" name="TextBox 25">
          <a:extLst>
            <a:ext uri="{FF2B5EF4-FFF2-40B4-BE49-F238E27FC236}">
              <a16:creationId xmlns:a16="http://schemas.microsoft.com/office/drawing/2014/main" id="{784AE9E7-0ADE-4190-8CD4-9FB5BCE218C4}"/>
            </a:ext>
          </a:extLst>
        </xdr:cNvPr>
        <xdr:cNvSpPr txBox="1"/>
      </xdr:nvSpPr>
      <xdr:spPr>
        <a:xfrm>
          <a:off x="14439899" y="4019550"/>
          <a:ext cx="575310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a:solidFill>
                <a:sysClr val="windowText" lastClr="000000"/>
              </a:solidFill>
              <a:latin typeface="Segoe UI Semibold" panose="020B0702040204020203" pitchFamily="34" charset="0"/>
              <a:cs typeface="Segoe UI Semibold" panose="020B0702040204020203" pitchFamily="34" charset="0"/>
            </a:rPr>
            <a:t>Average satisfaction by length of stay</a:t>
          </a:r>
        </a:p>
        <a:p>
          <a:pPr algn="ctr"/>
          <a:endParaRPr lang="pl-PL" sz="16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451784</xdr:colOff>
      <xdr:row>7</xdr:row>
      <xdr:rowOff>112993</xdr:rowOff>
    </xdr:from>
    <xdr:to>
      <xdr:col>0</xdr:col>
      <xdr:colOff>1148416</xdr:colOff>
      <xdr:row>11</xdr:row>
      <xdr:rowOff>47625</xdr:rowOff>
    </xdr:to>
    <xdr:pic>
      <xdr:nvPicPr>
        <xdr:cNvPr id="28" name="Graphic 27" descr="Bar chart with solid fill">
          <a:hlinkClick xmlns:r="http://schemas.openxmlformats.org/officeDocument/2006/relationships" r:id="rId18" tooltip="Move to &quot;specific_info&quot; table"/>
          <a:extLst>
            <a:ext uri="{FF2B5EF4-FFF2-40B4-BE49-F238E27FC236}">
              <a16:creationId xmlns:a16="http://schemas.microsoft.com/office/drawing/2014/main" id="{EE0625F9-E691-BA98-35CC-AF2780FD0EF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51784" y="1446493"/>
          <a:ext cx="696632" cy="696632"/>
        </a:xfrm>
        <a:prstGeom prst="rect">
          <a:avLst/>
        </a:prstGeom>
      </xdr:spPr>
    </xdr:pic>
    <xdr:clientData/>
  </xdr:twoCellAnchor>
  <xdr:twoCellAnchor>
    <xdr:from>
      <xdr:col>0</xdr:col>
      <xdr:colOff>0</xdr:colOff>
      <xdr:row>0</xdr:row>
      <xdr:rowOff>85725</xdr:rowOff>
    </xdr:from>
    <xdr:to>
      <xdr:col>1</xdr:col>
      <xdr:colOff>123825</xdr:colOff>
      <xdr:row>2</xdr:row>
      <xdr:rowOff>9525</xdr:rowOff>
    </xdr:to>
    <xdr:sp macro="" textlink="">
      <xdr:nvSpPr>
        <xdr:cNvPr id="29" name="TextBox 28">
          <a:extLst>
            <a:ext uri="{FF2B5EF4-FFF2-40B4-BE49-F238E27FC236}">
              <a16:creationId xmlns:a16="http://schemas.microsoft.com/office/drawing/2014/main" id="{23EC1618-823C-AA52-F0B8-3C0E8552B072}"/>
            </a:ext>
          </a:extLst>
        </xdr:cNvPr>
        <xdr:cNvSpPr txBox="1"/>
      </xdr:nvSpPr>
      <xdr:spPr>
        <a:xfrm>
          <a:off x="0" y="85725"/>
          <a:ext cx="16287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100">
              <a:latin typeface="Segoe UI Semibold" panose="020B0702040204020203" pitchFamily="34" charset="0"/>
              <a:cs typeface="Segoe UI Semibold" panose="020B0702040204020203" pitchFamily="34" charset="0"/>
            </a:rPr>
            <a:t>Click to go to the table:</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0</xdr:col>
      <xdr:colOff>409575</xdr:colOff>
      <xdr:row>2</xdr:row>
      <xdr:rowOff>190499</xdr:rowOff>
    </xdr:from>
    <xdr:to>
      <xdr:col>0</xdr:col>
      <xdr:colOff>1190775</xdr:colOff>
      <xdr:row>6</xdr:row>
      <xdr:rowOff>134099</xdr:rowOff>
    </xdr:to>
    <xdr:sp macro="" textlink="">
      <xdr:nvSpPr>
        <xdr:cNvPr id="30" name="Rectangle 29">
          <a:extLst>
            <a:ext uri="{FF2B5EF4-FFF2-40B4-BE49-F238E27FC236}">
              <a16:creationId xmlns:a16="http://schemas.microsoft.com/office/drawing/2014/main" id="{0960E586-20B4-F0E8-BE5C-171EF9572604}"/>
            </a:ext>
          </a:extLst>
        </xdr:cNvPr>
        <xdr:cNvSpPr/>
      </xdr:nvSpPr>
      <xdr:spPr>
        <a:xfrm>
          <a:off x="409575" y="571499"/>
          <a:ext cx="781200" cy="70560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7</xdr:row>
      <xdr:rowOff>71999</xdr:rowOff>
    </xdr:from>
    <xdr:to>
      <xdr:col>0</xdr:col>
      <xdr:colOff>1190625</xdr:colOff>
      <xdr:row>11</xdr:row>
      <xdr:rowOff>14849</xdr:rowOff>
    </xdr:to>
    <xdr:sp macro="" textlink="">
      <xdr:nvSpPr>
        <xdr:cNvPr id="31" name="Rectangle 30">
          <a:extLst>
            <a:ext uri="{FF2B5EF4-FFF2-40B4-BE49-F238E27FC236}">
              <a16:creationId xmlns:a16="http://schemas.microsoft.com/office/drawing/2014/main" id="{4FE1AB83-CA7F-46F5-BE75-95BB673A6111}"/>
            </a:ext>
          </a:extLst>
        </xdr:cNvPr>
        <xdr:cNvSpPr/>
      </xdr:nvSpPr>
      <xdr:spPr>
        <a:xfrm>
          <a:off x="409575" y="140549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11</xdr:row>
      <xdr:rowOff>143249</xdr:rowOff>
    </xdr:from>
    <xdr:to>
      <xdr:col>0</xdr:col>
      <xdr:colOff>1190625</xdr:colOff>
      <xdr:row>15</xdr:row>
      <xdr:rowOff>86099</xdr:rowOff>
    </xdr:to>
    <xdr:sp macro="" textlink="">
      <xdr:nvSpPr>
        <xdr:cNvPr id="32" name="Rectangle 31">
          <a:extLst>
            <a:ext uri="{FF2B5EF4-FFF2-40B4-BE49-F238E27FC236}">
              <a16:creationId xmlns:a16="http://schemas.microsoft.com/office/drawing/2014/main" id="{7DFBA112-C982-4CD1-B294-F2EE5F351EE0}"/>
            </a:ext>
          </a:extLst>
        </xdr:cNvPr>
        <xdr:cNvSpPr/>
      </xdr:nvSpPr>
      <xdr:spPr>
        <a:xfrm>
          <a:off x="409575" y="223874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16</xdr:row>
      <xdr:rowOff>23999</xdr:rowOff>
    </xdr:from>
    <xdr:to>
      <xdr:col>0</xdr:col>
      <xdr:colOff>1190625</xdr:colOff>
      <xdr:row>19</xdr:row>
      <xdr:rowOff>157349</xdr:rowOff>
    </xdr:to>
    <xdr:sp macro="" textlink="">
      <xdr:nvSpPr>
        <xdr:cNvPr id="33" name="Rectangle 32">
          <a:extLst>
            <a:ext uri="{FF2B5EF4-FFF2-40B4-BE49-F238E27FC236}">
              <a16:creationId xmlns:a16="http://schemas.microsoft.com/office/drawing/2014/main" id="{713BB21F-79D8-4D99-A9A1-A69EDDFE1E6A}"/>
            </a:ext>
          </a:extLst>
        </xdr:cNvPr>
        <xdr:cNvSpPr/>
      </xdr:nvSpPr>
      <xdr:spPr>
        <a:xfrm>
          <a:off x="409575" y="3071999"/>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409575</xdr:colOff>
      <xdr:row>20</xdr:row>
      <xdr:rowOff>95250</xdr:rowOff>
    </xdr:from>
    <xdr:to>
      <xdr:col>0</xdr:col>
      <xdr:colOff>1190625</xdr:colOff>
      <xdr:row>24</xdr:row>
      <xdr:rowOff>38100</xdr:rowOff>
    </xdr:to>
    <xdr:sp macro="" textlink="">
      <xdr:nvSpPr>
        <xdr:cNvPr id="34" name="Rectangle 33">
          <a:extLst>
            <a:ext uri="{FF2B5EF4-FFF2-40B4-BE49-F238E27FC236}">
              <a16:creationId xmlns:a16="http://schemas.microsoft.com/office/drawing/2014/main" id="{C252B2DB-E9E6-4AF4-995C-D62F3FAFC60D}"/>
            </a:ext>
          </a:extLst>
        </xdr:cNvPr>
        <xdr:cNvSpPr/>
      </xdr:nvSpPr>
      <xdr:spPr>
        <a:xfrm>
          <a:off x="409575" y="3905250"/>
          <a:ext cx="781050" cy="7048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inik Czerny" refreshedDate="45953.546649768519" createdVersion="8" refreshedVersion="8" minRefreshableVersion="3" recordCount="0" supportSubquery="1" supportAdvancedDrill="1" xr:uid="{6C9A8F84-59DF-4B70-AAB1-CF21C291DFB1}">
  <cacheSource type="external" connectionId="5"/>
  <cacheFields count="3">
    <cacheField name="[patients].[service].[service]" caption="service" numFmtId="0" hierarchy="5" level="1">
      <sharedItems count="4">
        <s v="emergency"/>
        <s v="general_medicine"/>
        <s v="ICU"/>
        <s v="surgery"/>
      </sharedItems>
    </cacheField>
    <cacheField name="[Measures].[Count of patient_id]" caption="Count of patient_id" numFmtId="0" hierarchy="36" level="32767"/>
    <cacheField name="[patients].[age_group].[age_group]" caption="age_group" numFmtId="0" hierarchy="8" level="1">
      <sharedItems containsSemiMixedTypes="0" containsNonDate="0" containsString="0"/>
    </cacheField>
  </cacheFields>
  <cacheHierarchies count="45">
    <cacheHierarchy uniqueName="[patients].[patient_id]" caption="patient_id" attribute="1" defaultMemberUniqueName="[patients].[patient_id].[All]" allUniqueName="[patients].[patient_id].[All]" dimensionUniqueName="[patients]" displayFolder="" count="0" memberValueDatatype="130" unbalanced="0"/>
    <cacheHierarchy uniqueName="[patients].[name]" caption="name" attribute="1" defaultMemberUniqueName="[patients].[name].[All]" allUniqueName="[patients].[name].[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rrival_date]" caption="arrival_date" attribute="1" time="1" defaultMemberUniqueName="[patients].[arrival_date].[All]" allUniqueName="[patients].[arrival_date].[All]" dimensionUniqueName="[patients]" displayFolder="" count="0" memberValueDatatype="7" unbalanced="0"/>
    <cacheHierarchy uniqueName="[patients].[departure_date]" caption="departure_date" attribute="1" time="1" defaultMemberUniqueName="[patients].[departure_date].[All]" allUniqueName="[patients].[departure_date].[All]" dimensionUniqueName="[patients]" displayFolder="" count="0" memberValueDatatype="7" unbalanced="0"/>
    <cacheHierarchy uniqueName="[patients].[service]" caption="service" attribute="1" defaultMemberUniqueName="[patients].[service].[All]" allUniqueName="[patients].[service].[All]" dimensionUniqueName="[patients]" displayFolder="" count="2" memberValueDatatype="130" unbalanced="0">
      <fieldsUsage count="2">
        <fieldUsage x="-1"/>
        <fieldUsage x="0"/>
      </fieldsUsage>
    </cacheHierarchy>
    <cacheHierarchy uniqueName="[patients].[satisfaction]" caption="satisfaction" attribute="1" defaultMemberUniqueName="[patients].[satisfaction].[All]" allUniqueName="[patients].[satisfaction].[All]" dimensionUniqueName="[patients]" displayFolder="" count="0" memberValueDatatype="20" unbalanced="0"/>
    <cacheHierarchy uniqueName="[patients].[length_of_stay]" caption="length_of_stay" attribute="1" defaultMemberUniqueName="[patients].[length_of_stay].[All]" allUniqueName="[patients].[length_of_stay].[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2" memberValueDatatype="130" unbalanced="0">
      <fieldsUsage count="2">
        <fieldUsage x="-1"/>
        <fieldUsage x="2"/>
      </fieldsUsage>
    </cacheHierarchy>
    <cacheHierarchy uniqueName="[patients].[month_name (when arrived)]" caption="month_name (when arrived)" attribute="1" defaultMemberUniqueName="[patients].[month_name (when arrived)].[All]" allUniqueName="[patients].[month_name (when arrived)].[All]" dimensionUniqueName="[patients]" displayFolder="" count="0" memberValueDatatype="130" unbalanced="0"/>
    <cacheHierarchy uniqueName="[patients].[over_average_stay_or_not]" caption="over_average_stay_or_not" attribute="1" defaultMemberUniqueName="[patients].[over_average_stay_or_not].[All]" allUniqueName="[patients].[over_average_stay_or_not].[All]" dimensionUniqueName="[patients]" displayFolder="" count="0" memberValueDatatype="130" unbalanced="0"/>
    <cacheHierarchy uniqueName="[patients].[arrival_date (Month Index)]" caption="arrival_date (Month Index)" attribute="1" defaultMemberUniqueName="[patients].[arrival_date (Month Index)].[All]" allUniqueName="[patients].[arrival_date (Month Index)].[All]" dimensionUniqueName="[patients]" displayFolder="" count="0" memberValueDatatype="20" unbalanced="0"/>
    <cacheHierarchy uniqueName="[patients].[arrival_date (Month)]" caption="arrival_date (Month)" attribute="1" defaultMemberUniqueName="[patients].[arrival_date (Month)].[All]" allUniqueName="[patients].[arrival_date (Month)].[All]" dimensionUniqueName="[patients]" displayFolder="" count="0" memberValueDatatype="130" unbalanced="0"/>
    <cacheHierarchy uniqueName="[services_weekly].[week]" caption="week" attribute="1" defaultMemberUniqueName="[services_weekly].[week].[All]" allUniqueName="[services_weekly].[week].[All]" dimensionUniqueName="[services_weekly]" displayFolder="" count="0" memberValueDatatype="20" unbalanced="0"/>
    <cacheHierarchy uniqueName="[services_weekly].[month]" caption="month" attribute="1" defaultMemberUniqueName="[services_weekly].[month].[All]" allUniqueName="[services_weekly].[month].[All]" dimensionUniqueName="[services_weekly]" displayFolder="" count="0" memberValueDatatype="20" unbalanced="0"/>
    <cacheHierarchy uniqueName="[services_weekly].[service]" caption="service" attribute="1" defaultMemberUniqueName="[services_weekly].[service].[All]" allUniqueName="[services_weekly].[service].[All]" dimensionUniqueName="[services_weekly]" displayFolder="" count="0" memberValueDatatype="130" unbalanced="0"/>
    <cacheHierarchy uniqueName="[services_weekly].[available_beds]" caption="available_beds" attribute="1" defaultMemberUniqueName="[services_weekly].[available_beds].[All]" allUniqueName="[services_weekly].[available_beds].[All]" dimensionUniqueName="[services_weekly]" displayFolder="" count="0" memberValueDatatype="20" unbalanced="0"/>
    <cacheHierarchy uniqueName="[services_weekly].[patients_request]" caption="patients_request" attribute="1" defaultMemberUniqueName="[services_weekly].[patients_request].[All]" allUniqueName="[services_weekly].[patients_request].[All]" dimensionUniqueName="[services_weekly]" displayFolder="" count="0" memberValueDatatype="20" unbalanced="0"/>
    <cacheHierarchy uniqueName="[services_weekly].[patients_admitted]" caption="patients_admitted" attribute="1" defaultMemberUniqueName="[services_weekly].[patients_admitted].[All]" allUniqueName="[services_weekly].[patients_admitted].[All]" dimensionUniqueName="[services_weekly]" displayFolder="" count="0" memberValueDatatype="20" unbalanced="0"/>
    <cacheHierarchy uniqueName="[services_weekly].[patients_refused]" caption="patients_refused" attribute="1" defaultMemberUniqueName="[services_weekly].[patients_refused].[All]" allUniqueName="[services_weekly].[patients_refused].[All]" dimensionUniqueName="[services_weekly]" displayFolder="" count="0" memberValueDatatype="20" unbalanced="0"/>
    <cacheHierarchy uniqueName="[services_weekly].[patient_satisfaction]" caption="patient_satisfaction" attribute="1" defaultMemberUniqueName="[services_weekly].[patient_satisfaction].[All]" allUniqueName="[services_weekly].[patient_satisfaction].[All]" dimensionUniqueName="[services_weekly]" displayFolder="" count="0" memberValueDatatype="20" unbalanced="0"/>
    <cacheHierarchy uniqueName="[services_weekly].[staff_morale]" caption="staff_morale" attribute="1" defaultMemberUniqueName="[services_weekly].[staff_morale].[All]" allUniqueName="[services_weekly].[staff_morale].[All]" dimensionUniqueName="[services_weekly]" displayFolder="" count="0" memberValueDatatype="20" unbalanced="0"/>
    <cacheHierarchy uniqueName="[services_weekly].[event]" caption="event" attribute="1" defaultMemberUniqueName="[services_weekly].[event].[All]" allUniqueName="[services_weekly].[event].[All]" dimensionUniqueName="[services_weekly]" displayFolder="" count="0" memberValueDatatype="130" unbalanced="0"/>
    <cacheHierarchy uniqueName="[services_weekly].[% of bed occupancy]" caption="% of bed occupancy" attribute="1" defaultMemberUniqueName="[services_weekly].[% of bed occupancy].[All]" allUniqueName="[services_weekly].[% of bed occupancy].[All]" dimensionUniqueName="[services_weekly]" displayFolder="" count="0" memberValueDatatype="5" unbalanced="0"/>
    <cacheHierarchy uniqueName="[staff].[staff_id]" caption="staff_id" attribute="1" defaultMemberUniqueName="[staff].[staff_id].[All]" allUniqueName="[staff].[staff_id].[All]" dimensionUniqueName="[staff]" displayFolder="" count="0" memberValueDatatype="130" unbalanced="0"/>
    <cacheHierarchy uniqueName="[staff].[staff_name]" caption="staff_name" attribute="1" defaultMemberUniqueName="[staff].[staff_name].[All]" allUniqueName="[staff].[staff_name].[All]" dimensionUniqueName="[staff]" displayFolder="" count="0" memberValueDatatype="130" unbalanced="0"/>
    <cacheHierarchy uniqueName="[staff].[role]" caption="role" attribute="1" defaultMemberUniqueName="[staff].[role].[All]" allUniqueName="[staff].[role].[All]" dimensionUniqueName="[staff]" displayFolder="" count="0" memberValueDatatype="130" unbalanced="0"/>
    <cacheHierarchy uniqueName="[staff].[service]" caption="service" attribute="1" defaultMemberUniqueName="[staff].[service].[All]" allUniqueName="[staff].[service].[All]" dimensionUniqueName="[staff]" displayFolder="" count="0" memberValueDatatype="130" unbalanced="0"/>
    <cacheHierarchy uniqueName="[Measures].[__XL_Count staff]" caption="__XL_Count staff" measure="1" displayFolder="" measureGroup="staff" count="0" hidden="1"/>
    <cacheHierarchy uniqueName="[Measures].[__XL_Count patients]" caption="__XL_Count patients" measure="1" displayFolder="" measureGroup="patients" count="0" hidden="1"/>
    <cacheHierarchy uniqueName="[Measures].[__XL_Count services_weekly]" caption="__XL_Count services_weekly" measure="1" displayFolder="" measureGroup="services_weekly" count="0" hidden="1"/>
    <cacheHierarchy uniqueName="[Measures].[__No measures defined]" caption="__No measures defined" measure="1" displayFolder="" count="0" hidden="1"/>
    <cacheHierarchy uniqueName="[Measures].[Count of staff_id]" caption="Count of staff_id" measure="1" displayFolder="" measureGroup="staff"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atients" count="0" hidden="1">
      <extLst>
        <ext xmlns:x15="http://schemas.microsoft.com/office/spreadsheetml/2010/11/main" uri="{B97F6D7D-B522-45F9-BDA1-12C45D357490}">
          <x15:cacheHierarchy aggregatedColumn="2"/>
        </ext>
      </extLst>
    </cacheHierarchy>
    <cacheHierarchy uniqueName="[Measures].[Sum of satisfaction]" caption="Sum of satisfaction" measure="1" displayFolder="" measureGroup="patients" count="0" hidden="1">
      <extLst>
        <ext xmlns:x15="http://schemas.microsoft.com/office/spreadsheetml/2010/11/main" uri="{B97F6D7D-B522-45F9-BDA1-12C45D357490}">
          <x15:cacheHierarchy aggregatedColumn="6"/>
        </ext>
      </extLst>
    </cacheHierarchy>
    <cacheHierarchy uniqueName="[Measures].[Average of satisfaction]" caption="Average of satisfaction" measure="1" displayFolder="" measureGroup="patients" count="0" hidden="1">
      <extLst>
        <ext xmlns:x15="http://schemas.microsoft.com/office/spreadsheetml/2010/11/main" uri="{B97F6D7D-B522-45F9-BDA1-12C45D357490}">
          <x15:cacheHierarchy aggregatedColumn="6"/>
        </ext>
      </extLst>
    </cacheHierarchy>
    <cacheHierarchy uniqueName="[Measures].[Count of patient_id]" caption="Count of patient_id" measure="1" displayFolder="" measureGroup="pati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ervice]" caption="Count of service" measure="1" displayFolder="" measureGroup="patients"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services_weekly" count="0" hidden="1">
      <extLst>
        <ext xmlns:x15="http://schemas.microsoft.com/office/spreadsheetml/2010/11/main" uri="{B97F6D7D-B522-45F9-BDA1-12C45D357490}">
          <x15:cacheHierarchy aggregatedColumn="14"/>
        </ext>
      </extLst>
    </cacheHierarchy>
    <cacheHierarchy uniqueName="[Measures].[Sum of % of bed occupancy]" caption="Sum of % of bed occupancy" measure="1" displayFolder="" measureGroup="services_weekly" count="0" hidden="1">
      <extLst>
        <ext xmlns:x15="http://schemas.microsoft.com/office/spreadsheetml/2010/11/main" uri="{B97F6D7D-B522-45F9-BDA1-12C45D357490}">
          <x15:cacheHierarchy aggregatedColumn="23"/>
        </ext>
      </extLst>
    </cacheHierarchy>
    <cacheHierarchy uniqueName="[Measures].[Average of % of bed occupancy]" caption="Average of % of bed occupancy" measure="1" displayFolder="" measureGroup="services_weekly" count="0" hidden="1">
      <extLst>
        <ext xmlns:x15="http://schemas.microsoft.com/office/spreadsheetml/2010/11/main" uri="{B97F6D7D-B522-45F9-BDA1-12C45D357490}">
          <x15:cacheHierarchy aggregatedColumn="23"/>
        </ext>
      </extLst>
    </cacheHierarchy>
    <cacheHierarchy uniqueName="[Measures].[Sum of patient_satisfaction]" caption="Sum of patient_satisfaction" measure="1" displayFolder="" measureGroup="services_weekly" count="0" hidden="1">
      <extLst>
        <ext xmlns:x15="http://schemas.microsoft.com/office/spreadsheetml/2010/11/main" uri="{B97F6D7D-B522-45F9-BDA1-12C45D357490}">
          <x15:cacheHierarchy aggregatedColumn="20"/>
        </ext>
      </extLst>
    </cacheHierarchy>
    <cacheHierarchy uniqueName="[Measures].[Sum of staff_morale]" caption="Sum of staff_morale" measure="1" displayFolder="" measureGroup="services_weekly" count="0" hidden="1">
      <extLst>
        <ext xmlns:x15="http://schemas.microsoft.com/office/spreadsheetml/2010/11/main" uri="{B97F6D7D-B522-45F9-BDA1-12C45D357490}">
          <x15:cacheHierarchy aggregatedColumn="21"/>
        </ext>
      </extLst>
    </cacheHierarchy>
    <cacheHierarchy uniqueName="[Measures].[Average of patient_satisfaction]" caption="Average of patient_satisfaction" measure="1" displayFolder="" measureGroup="services_weekly" count="0" hidden="1">
      <extLst>
        <ext xmlns:x15="http://schemas.microsoft.com/office/spreadsheetml/2010/11/main" uri="{B97F6D7D-B522-45F9-BDA1-12C45D357490}">
          <x15:cacheHierarchy aggregatedColumn="20"/>
        </ext>
      </extLst>
    </cacheHierarchy>
    <cacheHierarchy uniqueName="[Measures].[Average of staff_morale]" caption="Average of staff_morale" measure="1" displayFolder="" measureGroup="services_weekly"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patients" uniqueName="[patients]" caption="patients"/>
    <dimension name="services_weekly" uniqueName="[services_weekly]" caption="services_weekly"/>
    <dimension name="staff" uniqueName="[staff]" caption="staff"/>
  </dimensions>
  <measureGroups count="3">
    <measureGroup name="patients" caption="patients"/>
    <measureGroup name="services_weekly" caption="services_weekly"/>
    <measureGroup name="staff" caption="staff"/>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inik Czerny" refreshedDate="45953.546649999997" createdVersion="8" refreshedVersion="8" minRefreshableVersion="3" recordCount="0" supportSubquery="1" supportAdvancedDrill="1" xr:uid="{8886EC0B-1A52-4B7A-8DD8-582AEB6050AF}">
  <cacheSource type="external" connectionId="5"/>
  <cacheFields count="3">
    <cacheField name="[patients].[age_group].[age_group]" caption="age_group" numFmtId="0" hierarchy="8" level="1">
      <sharedItems count="4">
        <s v="0-17"/>
        <s v="18-39"/>
        <s v="40-64"/>
        <s v="65+"/>
      </sharedItems>
    </cacheField>
    <cacheField name="[patients].[service].[service]" caption="service" numFmtId="0" hierarchy="5" level="1">
      <sharedItems count="4">
        <s v="emergency"/>
        <s v="general_medicine"/>
        <s v="ICU"/>
        <s v="surgery"/>
      </sharedItems>
    </cacheField>
    <cacheField name="[Measures].[Count of patient_id]" caption="Count of patient_id" numFmtId="0" hierarchy="36" level="32767"/>
  </cacheFields>
  <cacheHierarchies count="45">
    <cacheHierarchy uniqueName="[patients].[patient_id]" caption="patient_id" attribute="1" defaultMemberUniqueName="[patients].[patient_id].[All]" allUniqueName="[patients].[patient_id].[All]" dimensionUniqueName="[patients]" displayFolder="" count="0" memberValueDatatype="130" unbalanced="0"/>
    <cacheHierarchy uniqueName="[patients].[name]" caption="name" attribute="1" defaultMemberUniqueName="[patients].[name].[All]" allUniqueName="[patients].[name].[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rrival_date]" caption="arrival_date" attribute="1" time="1" defaultMemberUniqueName="[patients].[arrival_date].[All]" allUniqueName="[patients].[arrival_date].[All]" dimensionUniqueName="[patients]" displayFolder="" count="0" memberValueDatatype="7" unbalanced="0"/>
    <cacheHierarchy uniqueName="[patients].[departure_date]" caption="departure_date" attribute="1" time="1" defaultMemberUniqueName="[patients].[departure_date].[All]" allUniqueName="[patients].[departure_date].[All]" dimensionUniqueName="[patients]" displayFolder="" count="0" memberValueDatatype="7" unbalanced="0"/>
    <cacheHierarchy uniqueName="[patients].[service]" caption="service" attribute="1" defaultMemberUniqueName="[patients].[service].[All]" allUniqueName="[patients].[service].[All]" dimensionUniqueName="[patients]" displayFolder="" count="2" memberValueDatatype="130" unbalanced="0">
      <fieldsUsage count="2">
        <fieldUsage x="-1"/>
        <fieldUsage x="1"/>
      </fieldsUsage>
    </cacheHierarchy>
    <cacheHierarchy uniqueName="[patients].[satisfaction]" caption="satisfaction" attribute="1" defaultMemberUniqueName="[patients].[satisfaction].[All]" allUniqueName="[patients].[satisfaction].[All]" dimensionUniqueName="[patients]" displayFolder="" count="0" memberValueDatatype="20" unbalanced="0"/>
    <cacheHierarchy uniqueName="[patients].[length_of_stay]" caption="length_of_stay" attribute="1" defaultMemberUniqueName="[patients].[length_of_stay].[All]" allUniqueName="[patients].[length_of_stay].[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2" memberValueDatatype="130" unbalanced="0">
      <fieldsUsage count="2">
        <fieldUsage x="-1"/>
        <fieldUsage x="0"/>
      </fieldsUsage>
    </cacheHierarchy>
    <cacheHierarchy uniqueName="[patients].[month_name (when arrived)]" caption="month_name (when arrived)" attribute="1" defaultMemberUniqueName="[patients].[month_name (when arrived)].[All]" allUniqueName="[patients].[month_name (when arrived)].[All]" dimensionUniqueName="[patients]" displayFolder="" count="0" memberValueDatatype="130" unbalanced="0"/>
    <cacheHierarchy uniqueName="[patients].[over_average_stay_or_not]" caption="over_average_stay_or_not" attribute="1" defaultMemberUniqueName="[patients].[over_average_stay_or_not].[All]" allUniqueName="[patients].[over_average_stay_or_not].[All]" dimensionUniqueName="[patients]" displayFolder="" count="0" memberValueDatatype="130" unbalanced="0"/>
    <cacheHierarchy uniqueName="[patients].[arrival_date (Month Index)]" caption="arrival_date (Month Index)" attribute="1" defaultMemberUniqueName="[patients].[arrival_date (Month Index)].[All]" allUniqueName="[patients].[arrival_date (Month Index)].[All]" dimensionUniqueName="[patients]" displayFolder="" count="0" memberValueDatatype="20" unbalanced="0"/>
    <cacheHierarchy uniqueName="[patients].[arrival_date (Month)]" caption="arrival_date (Month)" attribute="1" defaultMemberUniqueName="[patients].[arrival_date (Month)].[All]" allUniqueName="[patients].[arrival_date (Month)].[All]" dimensionUniqueName="[patients]" displayFolder="" count="0" memberValueDatatype="130" unbalanced="0"/>
    <cacheHierarchy uniqueName="[services_weekly].[week]" caption="week" attribute="1" defaultMemberUniqueName="[services_weekly].[week].[All]" allUniqueName="[services_weekly].[week].[All]" dimensionUniqueName="[services_weekly]" displayFolder="" count="0" memberValueDatatype="20" unbalanced="0"/>
    <cacheHierarchy uniqueName="[services_weekly].[month]" caption="month" attribute="1" defaultMemberUniqueName="[services_weekly].[month].[All]" allUniqueName="[services_weekly].[month].[All]" dimensionUniqueName="[services_weekly]" displayFolder="" count="0" memberValueDatatype="20" unbalanced="0"/>
    <cacheHierarchy uniqueName="[services_weekly].[service]" caption="service" attribute="1" defaultMemberUniqueName="[services_weekly].[service].[All]" allUniqueName="[services_weekly].[service].[All]" dimensionUniqueName="[services_weekly]" displayFolder="" count="0" memberValueDatatype="130" unbalanced="0"/>
    <cacheHierarchy uniqueName="[services_weekly].[available_beds]" caption="available_beds" attribute="1" defaultMemberUniqueName="[services_weekly].[available_beds].[All]" allUniqueName="[services_weekly].[available_beds].[All]" dimensionUniqueName="[services_weekly]" displayFolder="" count="0" memberValueDatatype="20" unbalanced="0"/>
    <cacheHierarchy uniqueName="[services_weekly].[patients_request]" caption="patients_request" attribute="1" defaultMemberUniqueName="[services_weekly].[patients_request].[All]" allUniqueName="[services_weekly].[patients_request].[All]" dimensionUniqueName="[services_weekly]" displayFolder="" count="0" memberValueDatatype="20" unbalanced="0"/>
    <cacheHierarchy uniqueName="[services_weekly].[patients_admitted]" caption="patients_admitted" attribute="1" defaultMemberUniqueName="[services_weekly].[patients_admitted].[All]" allUniqueName="[services_weekly].[patients_admitted].[All]" dimensionUniqueName="[services_weekly]" displayFolder="" count="0" memberValueDatatype="20" unbalanced="0"/>
    <cacheHierarchy uniqueName="[services_weekly].[patients_refused]" caption="patients_refused" attribute="1" defaultMemberUniqueName="[services_weekly].[patients_refused].[All]" allUniqueName="[services_weekly].[patients_refused].[All]" dimensionUniqueName="[services_weekly]" displayFolder="" count="0" memberValueDatatype="20" unbalanced="0"/>
    <cacheHierarchy uniqueName="[services_weekly].[patient_satisfaction]" caption="patient_satisfaction" attribute="1" defaultMemberUniqueName="[services_weekly].[patient_satisfaction].[All]" allUniqueName="[services_weekly].[patient_satisfaction].[All]" dimensionUniqueName="[services_weekly]" displayFolder="" count="0" memberValueDatatype="20" unbalanced="0"/>
    <cacheHierarchy uniqueName="[services_weekly].[staff_morale]" caption="staff_morale" attribute="1" defaultMemberUniqueName="[services_weekly].[staff_morale].[All]" allUniqueName="[services_weekly].[staff_morale].[All]" dimensionUniqueName="[services_weekly]" displayFolder="" count="0" memberValueDatatype="20" unbalanced="0"/>
    <cacheHierarchy uniqueName="[services_weekly].[event]" caption="event" attribute="1" defaultMemberUniqueName="[services_weekly].[event].[All]" allUniqueName="[services_weekly].[event].[All]" dimensionUniqueName="[services_weekly]" displayFolder="" count="0" memberValueDatatype="130" unbalanced="0"/>
    <cacheHierarchy uniqueName="[services_weekly].[% of bed occupancy]" caption="% of bed occupancy" attribute="1" defaultMemberUniqueName="[services_weekly].[% of bed occupancy].[All]" allUniqueName="[services_weekly].[% of bed occupancy].[All]" dimensionUniqueName="[services_weekly]" displayFolder="" count="0" memberValueDatatype="5" unbalanced="0"/>
    <cacheHierarchy uniqueName="[staff].[staff_id]" caption="staff_id" attribute="1" defaultMemberUniqueName="[staff].[staff_id].[All]" allUniqueName="[staff].[staff_id].[All]" dimensionUniqueName="[staff]" displayFolder="" count="0" memberValueDatatype="130" unbalanced="0"/>
    <cacheHierarchy uniqueName="[staff].[staff_name]" caption="staff_name" attribute="1" defaultMemberUniqueName="[staff].[staff_name].[All]" allUniqueName="[staff].[staff_name].[All]" dimensionUniqueName="[staff]" displayFolder="" count="0" memberValueDatatype="130" unbalanced="0"/>
    <cacheHierarchy uniqueName="[staff].[role]" caption="role" attribute="1" defaultMemberUniqueName="[staff].[role].[All]" allUniqueName="[staff].[role].[All]" dimensionUniqueName="[staff]" displayFolder="" count="0" memberValueDatatype="130" unbalanced="0"/>
    <cacheHierarchy uniqueName="[staff].[service]" caption="service" attribute="1" defaultMemberUniqueName="[staff].[service].[All]" allUniqueName="[staff].[service].[All]" dimensionUniqueName="[staff]" displayFolder="" count="0" memberValueDatatype="130" unbalanced="0"/>
    <cacheHierarchy uniqueName="[Measures].[__XL_Count staff]" caption="__XL_Count staff" measure="1" displayFolder="" measureGroup="staff" count="0" hidden="1"/>
    <cacheHierarchy uniqueName="[Measures].[__XL_Count patients]" caption="__XL_Count patients" measure="1" displayFolder="" measureGroup="patients" count="0" hidden="1"/>
    <cacheHierarchy uniqueName="[Measures].[__XL_Count services_weekly]" caption="__XL_Count services_weekly" measure="1" displayFolder="" measureGroup="services_weekly" count="0" hidden="1"/>
    <cacheHierarchy uniqueName="[Measures].[__No measures defined]" caption="__No measures defined" measure="1" displayFolder="" count="0" hidden="1"/>
    <cacheHierarchy uniqueName="[Measures].[Count of staff_id]" caption="Count of staff_id" measure="1" displayFolder="" measureGroup="staff"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atients" count="0" hidden="1">
      <extLst>
        <ext xmlns:x15="http://schemas.microsoft.com/office/spreadsheetml/2010/11/main" uri="{B97F6D7D-B522-45F9-BDA1-12C45D357490}">
          <x15:cacheHierarchy aggregatedColumn="2"/>
        </ext>
      </extLst>
    </cacheHierarchy>
    <cacheHierarchy uniqueName="[Measures].[Sum of satisfaction]" caption="Sum of satisfaction" measure="1" displayFolder="" measureGroup="patients" count="0" hidden="1">
      <extLst>
        <ext xmlns:x15="http://schemas.microsoft.com/office/spreadsheetml/2010/11/main" uri="{B97F6D7D-B522-45F9-BDA1-12C45D357490}">
          <x15:cacheHierarchy aggregatedColumn="6"/>
        </ext>
      </extLst>
    </cacheHierarchy>
    <cacheHierarchy uniqueName="[Measures].[Average of satisfaction]" caption="Average of satisfaction" measure="1" displayFolder="" measureGroup="patients" count="0" hidden="1">
      <extLst>
        <ext xmlns:x15="http://schemas.microsoft.com/office/spreadsheetml/2010/11/main" uri="{B97F6D7D-B522-45F9-BDA1-12C45D357490}">
          <x15:cacheHierarchy aggregatedColumn="6"/>
        </ext>
      </extLst>
    </cacheHierarchy>
    <cacheHierarchy uniqueName="[Measures].[Count of patient_id]" caption="Count of patient_id" measure="1" displayFolder="" measureGroup="patient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ervice]" caption="Count of service" measure="1" displayFolder="" measureGroup="patients"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services_weekly" count="0" hidden="1">
      <extLst>
        <ext xmlns:x15="http://schemas.microsoft.com/office/spreadsheetml/2010/11/main" uri="{B97F6D7D-B522-45F9-BDA1-12C45D357490}">
          <x15:cacheHierarchy aggregatedColumn="14"/>
        </ext>
      </extLst>
    </cacheHierarchy>
    <cacheHierarchy uniqueName="[Measures].[Sum of % of bed occupancy]" caption="Sum of % of bed occupancy" measure="1" displayFolder="" measureGroup="services_weekly" count="0" hidden="1">
      <extLst>
        <ext xmlns:x15="http://schemas.microsoft.com/office/spreadsheetml/2010/11/main" uri="{B97F6D7D-B522-45F9-BDA1-12C45D357490}">
          <x15:cacheHierarchy aggregatedColumn="23"/>
        </ext>
      </extLst>
    </cacheHierarchy>
    <cacheHierarchy uniqueName="[Measures].[Average of % of bed occupancy]" caption="Average of % of bed occupancy" measure="1" displayFolder="" measureGroup="services_weekly" count="0" hidden="1">
      <extLst>
        <ext xmlns:x15="http://schemas.microsoft.com/office/spreadsheetml/2010/11/main" uri="{B97F6D7D-B522-45F9-BDA1-12C45D357490}">
          <x15:cacheHierarchy aggregatedColumn="23"/>
        </ext>
      </extLst>
    </cacheHierarchy>
    <cacheHierarchy uniqueName="[Measures].[Sum of patient_satisfaction]" caption="Sum of patient_satisfaction" measure="1" displayFolder="" measureGroup="services_weekly" count="0" hidden="1">
      <extLst>
        <ext xmlns:x15="http://schemas.microsoft.com/office/spreadsheetml/2010/11/main" uri="{B97F6D7D-B522-45F9-BDA1-12C45D357490}">
          <x15:cacheHierarchy aggregatedColumn="20"/>
        </ext>
      </extLst>
    </cacheHierarchy>
    <cacheHierarchy uniqueName="[Measures].[Sum of staff_morale]" caption="Sum of staff_morale" measure="1" displayFolder="" measureGroup="services_weekly" count="0" hidden="1">
      <extLst>
        <ext xmlns:x15="http://schemas.microsoft.com/office/spreadsheetml/2010/11/main" uri="{B97F6D7D-B522-45F9-BDA1-12C45D357490}">
          <x15:cacheHierarchy aggregatedColumn="21"/>
        </ext>
      </extLst>
    </cacheHierarchy>
    <cacheHierarchy uniqueName="[Measures].[Average of patient_satisfaction]" caption="Average of patient_satisfaction" measure="1" displayFolder="" measureGroup="services_weekly" count="0" hidden="1">
      <extLst>
        <ext xmlns:x15="http://schemas.microsoft.com/office/spreadsheetml/2010/11/main" uri="{B97F6D7D-B522-45F9-BDA1-12C45D357490}">
          <x15:cacheHierarchy aggregatedColumn="20"/>
        </ext>
      </extLst>
    </cacheHierarchy>
    <cacheHierarchy uniqueName="[Measures].[Average of staff_morale]" caption="Average of staff_morale" measure="1" displayFolder="" measureGroup="services_weekly"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patients" uniqueName="[patients]" caption="patients"/>
    <dimension name="services_weekly" uniqueName="[services_weekly]" caption="services_weekly"/>
    <dimension name="staff" uniqueName="[staff]" caption="staff"/>
  </dimensions>
  <measureGroups count="3">
    <measureGroup name="patients" caption="patients"/>
    <measureGroup name="services_weekly" caption="services_weekly"/>
    <measureGroup name="staff" caption="staff"/>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inik Czerny" refreshedDate="45953.546650462966" createdVersion="8" refreshedVersion="8" minRefreshableVersion="3" recordCount="0" supportSubquery="1" supportAdvancedDrill="1" xr:uid="{6158C8EF-789D-4B0F-8FFA-AE1AC578D4F7}">
  <cacheSource type="external" connectionId="5"/>
  <cacheFields count="3">
    <cacheField name="[Measures].[Count of patient_id]" caption="Count of patient_id" numFmtId="0" hierarchy="36" level="32767"/>
    <cacheField name="[patients].[arrival_date (Month Index)].[arrival_date (Month Index)]" caption="arrival_date (Month Index)" numFmtId="0" hierarchy="11"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patients].[arrival_date (Month Index)].&amp;[1]"/>
            <x15:cachedUniqueName index="1" name="[patients].[arrival_date (Month Index)].&amp;[2]"/>
            <x15:cachedUniqueName index="2" name="[patients].[arrival_date (Month Index)].&amp;[3]"/>
            <x15:cachedUniqueName index="3" name="[patients].[arrival_date (Month Index)].&amp;[4]"/>
            <x15:cachedUniqueName index="4" name="[patients].[arrival_date (Month Index)].&amp;[5]"/>
            <x15:cachedUniqueName index="5" name="[patients].[arrival_date (Month Index)].&amp;[6]"/>
            <x15:cachedUniqueName index="6" name="[patients].[arrival_date (Month Index)].&amp;[7]"/>
            <x15:cachedUniqueName index="7" name="[patients].[arrival_date (Month Index)].&amp;[8]"/>
            <x15:cachedUniqueName index="8" name="[patients].[arrival_date (Month Index)].&amp;[9]"/>
            <x15:cachedUniqueName index="9" name="[patients].[arrival_date (Month Index)].&amp;[10]"/>
            <x15:cachedUniqueName index="10" name="[patients].[arrival_date (Month Index)].&amp;[11]"/>
            <x15:cachedUniqueName index="11" name="[patients].[arrival_date (Month Index)].&amp;[12]"/>
          </x15:cachedUniqueNames>
        </ext>
      </extLst>
    </cacheField>
    <cacheField name="[patients].[age_group].[age_group]" caption="age_group" numFmtId="0" hierarchy="8" level="1">
      <sharedItems containsSemiMixedTypes="0" containsNonDate="0" containsString="0"/>
    </cacheField>
  </cacheFields>
  <cacheHierarchies count="45">
    <cacheHierarchy uniqueName="[patients].[patient_id]" caption="patient_id" attribute="1" defaultMemberUniqueName="[patients].[patient_id].[All]" allUniqueName="[patients].[patient_id].[All]" dimensionUniqueName="[patients]" displayFolder="" count="0" memberValueDatatype="130" unbalanced="0"/>
    <cacheHierarchy uniqueName="[patients].[name]" caption="name" attribute="1" defaultMemberUniqueName="[patients].[name].[All]" allUniqueName="[patients].[name].[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rrival_date]" caption="arrival_date" attribute="1" time="1" defaultMemberUniqueName="[patients].[arrival_date].[All]" allUniqueName="[patients].[arrival_date].[All]" dimensionUniqueName="[patients]" displayFolder="" count="0" memberValueDatatype="7" unbalanced="0"/>
    <cacheHierarchy uniqueName="[patients].[departure_date]" caption="departure_date" attribute="1" time="1" defaultMemberUniqueName="[patients].[departure_date].[All]" allUniqueName="[patients].[departure_date].[All]" dimensionUniqueName="[patients]" displayFolder="" count="0" memberValueDatatype="7" unbalanced="0"/>
    <cacheHierarchy uniqueName="[patients].[service]" caption="service" attribute="1" defaultMemberUniqueName="[patients].[service].[All]" allUniqueName="[patients].[service].[All]" dimensionUniqueName="[patients]" displayFolder="" count="2" memberValueDatatype="130" unbalanced="0"/>
    <cacheHierarchy uniqueName="[patients].[satisfaction]" caption="satisfaction" attribute="1" defaultMemberUniqueName="[patients].[satisfaction].[All]" allUniqueName="[patients].[satisfaction].[All]" dimensionUniqueName="[patients]" displayFolder="" count="0" memberValueDatatype="20" unbalanced="0"/>
    <cacheHierarchy uniqueName="[patients].[length_of_stay]" caption="length_of_stay" attribute="1" defaultMemberUniqueName="[patients].[length_of_stay].[All]" allUniqueName="[patients].[length_of_stay].[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2" memberValueDatatype="130" unbalanced="0">
      <fieldsUsage count="2">
        <fieldUsage x="-1"/>
        <fieldUsage x="2"/>
      </fieldsUsage>
    </cacheHierarchy>
    <cacheHierarchy uniqueName="[patients].[month_name (when arrived)]" caption="month_name (when arrived)" attribute="1" defaultMemberUniqueName="[patients].[month_name (when arrived)].[All]" allUniqueName="[patients].[month_name (when arrived)].[All]" dimensionUniqueName="[patients]" displayFolder="" count="0" memberValueDatatype="130" unbalanced="0"/>
    <cacheHierarchy uniqueName="[patients].[over_average_stay_or_not]" caption="over_average_stay_or_not" attribute="1" defaultMemberUniqueName="[patients].[over_average_stay_or_not].[All]" allUniqueName="[patients].[over_average_stay_or_not].[All]" dimensionUniqueName="[patients]" displayFolder="" count="0" memberValueDatatype="130" unbalanced="0"/>
    <cacheHierarchy uniqueName="[patients].[arrival_date (Month Index)]" caption="arrival_date (Month Index)" attribute="1" defaultMemberUniqueName="[patients].[arrival_date (Month Index)].[All]" allUniqueName="[patients].[arrival_date (Month Index)].[All]" dimensionUniqueName="[patients]" displayFolder="" count="2" memberValueDatatype="20" unbalanced="0">
      <fieldsUsage count="2">
        <fieldUsage x="-1"/>
        <fieldUsage x="1"/>
      </fieldsUsage>
    </cacheHierarchy>
    <cacheHierarchy uniqueName="[patients].[arrival_date (Month)]" caption="arrival_date (Month)" attribute="1" defaultMemberUniqueName="[patients].[arrival_date (Month)].[All]" allUniqueName="[patients].[arrival_date (Month)].[All]" dimensionUniqueName="[patients]" displayFolder="" count="0" memberValueDatatype="130" unbalanced="0"/>
    <cacheHierarchy uniqueName="[services_weekly].[week]" caption="week" attribute="1" defaultMemberUniqueName="[services_weekly].[week].[All]" allUniqueName="[services_weekly].[week].[All]" dimensionUniqueName="[services_weekly]" displayFolder="" count="0" memberValueDatatype="20" unbalanced="0"/>
    <cacheHierarchy uniqueName="[services_weekly].[month]" caption="month" attribute="1" defaultMemberUniqueName="[services_weekly].[month].[All]" allUniqueName="[services_weekly].[month].[All]" dimensionUniqueName="[services_weekly]" displayFolder="" count="0" memberValueDatatype="20" unbalanced="0"/>
    <cacheHierarchy uniqueName="[services_weekly].[service]" caption="service" attribute="1" defaultMemberUniqueName="[services_weekly].[service].[All]" allUniqueName="[services_weekly].[service].[All]" dimensionUniqueName="[services_weekly]" displayFolder="" count="0" memberValueDatatype="130" unbalanced="0"/>
    <cacheHierarchy uniqueName="[services_weekly].[available_beds]" caption="available_beds" attribute="1" defaultMemberUniqueName="[services_weekly].[available_beds].[All]" allUniqueName="[services_weekly].[available_beds].[All]" dimensionUniqueName="[services_weekly]" displayFolder="" count="0" memberValueDatatype="20" unbalanced="0"/>
    <cacheHierarchy uniqueName="[services_weekly].[patients_request]" caption="patients_request" attribute="1" defaultMemberUniqueName="[services_weekly].[patients_request].[All]" allUniqueName="[services_weekly].[patients_request].[All]" dimensionUniqueName="[services_weekly]" displayFolder="" count="0" memberValueDatatype="20" unbalanced="0"/>
    <cacheHierarchy uniqueName="[services_weekly].[patients_admitted]" caption="patients_admitted" attribute="1" defaultMemberUniqueName="[services_weekly].[patients_admitted].[All]" allUniqueName="[services_weekly].[patients_admitted].[All]" dimensionUniqueName="[services_weekly]" displayFolder="" count="0" memberValueDatatype="20" unbalanced="0"/>
    <cacheHierarchy uniqueName="[services_weekly].[patients_refused]" caption="patients_refused" attribute="1" defaultMemberUniqueName="[services_weekly].[patients_refused].[All]" allUniqueName="[services_weekly].[patients_refused].[All]" dimensionUniqueName="[services_weekly]" displayFolder="" count="0" memberValueDatatype="20" unbalanced="0"/>
    <cacheHierarchy uniqueName="[services_weekly].[patient_satisfaction]" caption="patient_satisfaction" attribute="1" defaultMemberUniqueName="[services_weekly].[patient_satisfaction].[All]" allUniqueName="[services_weekly].[patient_satisfaction].[All]" dimensionUniqueName="[services_weekly]" displayFolder="" count="0" memberValueDatatype="20" unbalanced="0"/>
    <cacheHierarchy uniqueName="[services_weekly].[staff_morale]" caption="staff_morale" attribute="1" defaultMemberUniqueName="[services_weekly].[staff_morale].[All]" allUniqueName="[services_weekly].[staff_morale].[All]" dimensionUniqueName="[services_weekly]" displayFolder="" count="0" memberValueDatatype="20" unbalanced="0"/>
    <cacheHierarchy uniqueName="[services_weekly].[event]" caption="event" attribute="1" defaultMemberUniqueName="[services_weekly].[event].[All]" allUniqueName="[services_weekly].[event].[All]" dimensionUniqueName="[services_weekly]" displayFolder="" count="0" memberValueDatatype="130" unbalanced="0"/>
    <cacheHierarchy uniqueName="[services_weekly].[% of bed occupancy]" caption="% of bed occupancy" attribute="1" defaultMemberUniqueName="[services_weekly].[% of bed occupancy].[All]" allUniqueName="[services_weekly].[% of bed occupancy].[All]" dimensionUniqueName="[services_weekly]" displayFolder="" count="0" memberValueDatatype="5" unbalanced="0"/>
    <cacheHierarchy uniqueName="[staff].[staff_id]" caption="staff_id" attribute="1" defaultMemberUniqueName="[staff].[staff_id].[All]" allUniqueName="[staff].[staff_id].[All]" dimensionUniqueName="[staff]" displayFolder="" count="0" memberValueDatatype="130" unbalanced="0"/>
    <cacheHierarchy uniqueName="[staff].[staff_name]" caption="staff_name" attribute="1" defaultMemberUniqueName="[staff].[staff_name].[All]" allUniqueName="[staff].[staff_name].[All]" dimensionUniqueName="[staff]" displayFolder="" count="0" memberValueDatatype="130" unbalanced="0"/>
    <cacheHierarchy uniqueName="[staff].[role]" caption="role" attribute="1" defaultMemberUniqueName="[staff].[role].[All]" allUniqueName="[staff].[role].[All]" dimensionUniqueName="[staff]" displayFolder="" count="0" memberValueDatatype="130" unbalanced="0"/>
    <cacheHierarchy uniqueName="[staff].[service]" caption="service" attribute="1" defaultMemberUniqueName="[staff].[service].[All]" allUniqueName="[staff].[service].[All]" dimensionUniqueName="[staff]" displayFolder="" count="0" memberValueDatatype="130" unbalanced="0"/>
    <cacheHierarchy uniqueName="[Measures].[__XL_Count staff]" caption="__XL_Count staff" measure="1" displayFolder="" measureGroup="staff" count="0" hidden="1"/>
    <cacheHierarchy uniqueName="[Measures].[__XL_Count patients]" caption="__XL_Count patients" measure="1" displayFolder="" measureGroup="patients" count="0" hidden="1"/>
    <cacheHierarchy uniqueName="[Measures].[__XL_Count services_weekly]" caption="__XL_Count services_weekly" measure="1" displayFolder="" measureGroup="services_weekly" count="0" hidden="1"/>
    <cacheHierarchy uniqueName="[Measures].[__No measures defined]" caption="__No measures defined" measure="1" displayFolder="" count="0" hidden="1"/>
    <cacheHierarchy uniqueName="[Measures].[Count of staff_id]" caption="Count of staff_id" measure="1" displayFolder="" measureGroup="staff"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atients" count="0" hidden="1">
      <extLst>
        <ext xmlns:x15="http://schemas.microsoft.com/office/spreadsheetml/2010/11/main" uri="{B97F6D7D-B522-45F9-BDA1-12C45D357490}">
          <x15:cacheHierarchy aggregatedColumn="2"/>
        </ext>
      </extLst>
    </cacheHierarchy>
    <cacheHierarchy uniqueName="[Measures].[Sum of satisfaction]" caption="Sum of satisfaction" measure="1" displayFolder="" measureGroup="patients" count="0" hidden="1">
      <extLst>
        <ext xmlns:x15="http://schemas.microsoft.com/office/spreadsheetml/2010/11/main" uri="{B97F6D7D-B522-45F9-BDA1-12C45D357490}">
          <x15:cacheHierarchy aggregatedColumn="6"/>
        </ext>
      </extLst>
    </cacheHierarchy>
    <cacheHierarchy uniqueName="[Measures].[Average of satisfaction]" caption="Average of satisfaction" measure="1" displayFolder="" measureGroup="patients" count="0" hidden="1">
      <extLst>
        <ext xmlns:x15="http://schemas.microsoft.com/office/spreadsheetml/2010/11/main" uri="{B97F6D7D-B522-45F9-BDA1-12C45D357490}">
          <x15:cacheHierarchy aggregatedColumn="6"/>
        </ext>
      </extLst>
    </cacheHierarchy>
    <cacheHierarchy uniqueName="[Measures].[Count of patient_id]" caption="Count of patient_id" measure="1" displayFolder="" measureGroup="pati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ervice]" caption="Count of service" measure="1" displayFolder="" measureGroup="patients"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services_weekly" count="0" hidden="1">
      <extLst>
        <ext xmlns:x15="http://schemas.microsoft.com/office/spreadsheetml/2010/11/main" uri="{B97F6D7D-B522-45F9-BDA1-12C45D357490}">
          <x15:cacheHierarchy aggregatedColumn="14"/>
        </ext>
      </extLst>
    </cacheHierarchy>
    <cacheHierarchy uniqueName="[Measures].[Sum of % of bed occupancy]" caption="Sum of % of bed occupancy" measure="1" displayFolder="" measureGroup="services_weekly" count="0" hidden="1">
      <extLst>
        <ext xmlns:x15="http://schemas.microsoft.com/office/spreadsheetml/2010/11/main" uri="{B97F6D7D-B522-45F9-BDA1-12C45D357490}">
          <x15:cacheHierarchy aggregatedColumn="23"/>
        </ext>
      </extLst>
    </cacheHierarchy>
    <cacheHierarchy uniqueName="[Measures].[Average of % of bed occupancy]" caption="Average of % of bed occupancy" measure="1" displayFolder="" measureGroup="services_weekly" count="0" hidden="1">
      <extLst>
        <ext xmlns:x15="http://schemas.microsoft.com/office/spreadsheetml/2010/11/main" uri="{B97F6D7D-B522-45F9-BDA1-12C45D357490}">
          <x15:cacheHierarchy aggregatedColumn="23"/>
        </ext>
      </extLst>
    </cacheHierarchy>
    <cacheHierarchy uniqueName="[Measures].[Sum of patient_satisfaction]" caption="Sum of patient_satisfaction" measure="1" displayFolder="" measureGroup="services_weekly" count="0" hidden="1">
      <extLst>
        <ext xmlns:x15="http://schemas.microsoft.com/office/spreadsheetml/2010/11/main" uri="{B97F6D7D-B522-45F9-BDA1-12C45D357490}">
          <x15:cacheHierarchy aggregatedColumn="20"/>
        </ext>
      </extLst>
    </cacheHierarchy>
    <cacheHierarchy uniqueName="[Measures].[Sum of staff_morale]" caption="Sum of staff_morale" measure="1" displayFolder="" measureGroup="services_weekly" count="0" hidden="1">
      <extLst>
        <ext xmlns:x15="http://schemas.microsoft.com/office/spreadsheetml/2010/11/main" uri="{B97F6D7D-B522-45F9-BDA1-12C45D357490}">
          <x15:cacheHierarchy aggregatedColumn="21"/>
        </ext>
      </extLst>
    </cacheHierarchy>
    <cacheHierarchy uniqueName="[Measures].[Average of patient_satisfaction]" caption="Average of patient_satisfaction" measure="1" displayFolder="" measureGroup="services_weekly" count="0" hidden="1">
      <extLst>
        <ext xmlns:x15="http://schemas.microsoft.com/office/spreadsheetml/2010/11/main" uri="{B97F6D7D-B522-45F9-BDA1-12C45D357490}">
          <x15:cacheHierarchy aggregatedColumn="20"/>
        </ext>
      </extLst>
    </cacheHierarchy>
    <cacheHierarchy uniqueName="[Measures].[Average of staff_morale]" caption="Average of staff_morale" measure="1" displayFolder="" measureGroup="services_weekly"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patients" uniqueName="[patients]" caption="patients"/>
    <dimension name="services_weekly" uniqueName="[services_weekly]" caption="services_weekly"/>
    <dimension name="staff" uniqueName="[staff]" caption="staff"/>
  </dimensions>
  <measureGroups count="3">
    <measureGroup name="patients" caption="patients"/>
    <measureGroup name="services_weekly" caption="services_weekly"/>
    <measureGroup name="staff" caption="staff"/>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inik Czerny" refreshedDate="45953.546650925928" createdVersion="8" refreshedVersion="8" minRefreshableVersion="3" recordCount="0" supportSubquery="1" supportAdvancedDrill="1" xr:uid="{5E2F77BB-5E1D-4EA0-83A9-3B5C65F0ACE5}">
  <cacheSource type="external" connectionId="5"/>
  <cacheFields count="3">
    <cacheField name="[services_weekly].[month].[month]" caption="month" numFmtId="0" hierarchy="1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ervices_weekly].[month].&amp;[1]"/>
            <x15:cachedUniqueName index="1" name="[services_weekly].[month].&amp;[2]"/>
            <x15:cachedUniqueName index="2" name="[services_weekly].[month].&amp;[3]"/>
            <x15:cachedUniqueName index="3" name="[services_weekly].[month].&amp;[4]"/>
            <x15:cachedUniqueName index="4" name="[services_weekly].[month].&amp;[5]"/>
            <x15:cachedUniqueName index="5" name="[services_weekly].[month].&amp;[6]"/>
            <x15:cachedUniqueName index="6" name="[services_weekly].[month].&amp;[7]"/>
            <x15:cachedUniqueName index="7" name="[services_weekly].[month].&amp;[8]"/>
            <x15:cachedUniqueName index="8" name="[services_weekly].[month].&amp;[9]"/>
            <x15:cachedUniqueName index="9" name="[services_weekly].[month].&amp;[10]"/>
            <x15:cachedUniqueName index="10" name="[services_weekly].[month].&amp;[11]"/>
            <x15:cachedUniqueName index="11" name="[services_weekly].[month].&amp;[12]"/>
          </x15:cachedUniqueNames>
        </ext>
      </extLst>
    </cacheField>
    <cacheField name="[Measures].[Average of % of bed occupancy]" caption="Average of % of bed occupancy" numFmtId="0" hierarchy="40" level="32767"/>
    <cacheField name="[patients].[age_group].[age_group]" caption="age_group" numFmtId="0" hierarchy="8" level="1">
      <sharedItems containsSemiMixedTypes="0" containsNonDate="0" containsString="0"/>
    </cacheField>
  </cacheFields>
  <cacheHierarchies count="45">
    <cacheHierarchy uniqueName="[patients].[patient_id]" caption="patient_id" attribute="1" defaultMemberUniqueName="[patients].[patient_id].[All]" allUniqueName="[patients].[patient_id].[All]" dimensionUniqueName="[patients]" displayFolder="" count="0" memberValueDatatype="130" unbalanced="0"/>
    <cacheHierarchy uniqueName="[patients].[name]" caption="name" attribute="1" defaultMemberUniqueName="[patients].[name].[All]" allUniqueName="[patients].[name].[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rrival_date]" caption="arrival_date" attribute="1" time="1" defaultMemberUniqueName="[patients].[arrival_date].[All]" allUniqueName="[patients].[arrival_date].[All]" dimensionUniqueName="[patients]" displayFolder="" count="0" memberValueDatatype="7" unbalanced="0"/>
    <cacheHierarchy uniqueName="[patients].[departure_date]" caption="departure_date" attribute="1" time="1" defaultMemberUniqueName="[patients].[departure_date].[All]" allUniqueName="[patients].[departure_date].[All]" dimensionUniqueName="[patients]" displayFolder="" count="0" memberValueDatatype="7" unbalanced="0"/>
    <cacheHierarchy uniqueName="[patients].[service]" caption="service" attribute="1" defaultMemberUniqueName="[patients].[service].[All]" allUniqueName="[patients].[service].[All]" dimensionUniqueName="[patients]" displayFolder="" count="2" memberValueDatatype="130" unbalanced="0"/>
    <cacheHierarchy uniqueName="[patients].[satisfaction]" caption="satisfaction" attribute="1" defaultMemberUniqueName="[patients].[satisfaction].[All]" allUniqueName="[patients].[satisfaction].[All]" dimensionUniqueName="[patients]" displayFolder="" count="0" memberValueDatatype="20" unbalanced="0"/>
    <cacheHierarchy uniqueName="[patients].[length_of_stay]" caption="length_of_stay" attribute="1" defaultMemberUniqueName="[patients].[length_of_stay].[All]" allUniqueName="[patients].[length_of_stay].[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2" memberValueDatatype="130" unbalanced="0">
      <fieldsUsage count="2">
        <fieldUsage x="-1"/>
        <fieldUsage x="2"/>
      </fieldsUsage>
    </cacheHierarchy>
    <cacheHierarchy uniqueName="[patients].[month_name (when arrived)]" caption="month_name (when arrived)" attribute="1" defaultMemberUniqueName="[patients].[month_name (when arrived)].[All]" allUniqueName="[patients].[month_name (when arrived)].[All]" dimensionUniqueName="[patients]" displayFolder="" count="0" memberValueDatatype="130" unbalanced="0"/>
    <cacheHierarchy uniqueName="[patients].[over_average_stay_or_not]" caption="over_average_stay_or_not" attribute="1" defaultMemberUniqueName="[patients].[over_average_stay_or_not].[All]" allUniqueName="[patients].[over_average_stay_or_not].[All]" dimensionUniqueName="[patients]" displayFolder="" count="0" memberValueDatatype="130" unbalanced="0"/>
    <cacheHierarchy uniqueName="[patients].[arrival_date (Month Index)]" caption="arrival_date (Month Index)" attribute="1" defaultMemberUniqueName="[patients].[arrival_date (Month Index)].[All]" allUniqueName="[patients].[arrival_date (Month Index)].[All]" dimensionUniqueName="[patients]" displayFolder="" count="0" memberValueDatatype="20" unbalanced="0"/>
    <cacheHierarchy uniqueName="[patients].[arrival_date (Month)]" caption="arrival_date (Month)" attribute="1" defaultMemberUniqueName="[patients].[arrival_date (Month)].[All]" allUniqueName="[patients].[arrival_date (Month)].[All]" dimensionUniqueName="[patients]" displayFolder="" count="0" memberValueDatatype="130" unbalanced="0"/>
    <cacheHierarchy uniqueName="[services_weekly].[week]" caption="week" attribute="1" defaultMemberUniqueName="[services_weekly].[week].[All]" allUniqueName="[services_weekly].[week].[All]" dimensionUniqueName="[services_weekly]" displayFolder="" count="0" memberValueDatatype="20" unbalanced="0"/>
    <cacheHierarchy uniqueName="[services_weekly].[month]" caption="month" attribute="1" defaultMemberUniqueName="[services_weekly].[month].[All]" allUniqueName="[services_weekly].[month].[All]" dimensionUniqueName="[services_weekly]" displayFolder="" count="2" memberValueDatatype="20" unbalanced="0">
      <fieldsUsage count="2">
        <fieldUsage x="-1"/>
        <fieldUsage x="0"/>
      </fieldsUsage>
    </cacheHierarchy>
    <cacheHierarchy uniqueName="[services_weekly].[service]" caption="service" attribute="1" defaultMemberUniqueName="[services_weekly].[service].[All]" allUniqueName="[services_weekly].[service].[All]" dimensionUniqueName="[services_weekly]" displayFolder="" count="0" memberValueDatatype="130" unbalanced="0"/>
    <cacheHierarchy uniqueName="[services_weekly].[available_beds]" caption="available_beds" attribute="1" defaultMemberUniqueName="[services_weekly].[available_beds].[All]" allUniqueName="[services_weekly].[available_beds].[All]" dimensionUniqueName="[services_weekly]" displayFolder="" count="0" memberValueDatatype="20" unbalanced="0"/>
    <cacheHierarchy uniqueName="[services_weekly].[patients_request]" caption="patients_request" attribute="1" defaultMemberUniqueName="[services_weekly].[patients_request].[All]" allUniqueName="[services_weekly].[patients_request].[All]" dimensionUniqueName="[services_weekly]" displayFolder="" count="0" memberValueDatatype="20" unbalanced="0"/>
    <cacheHierarchy uniqueName="[services_weekly].[patients_admitted]" caption="patients_admitted" attribute="1" defaultMemberUniqueName="[services_weekly].[patients_admitted].[All]" allUniqueName="[services_weekly].[patients_admitted].[All]" dimensionUniqueName="[services_weekly]" displayFolder="" count="0" memberValueDatatype="20" unbalanced="0"/>
    <cacheHierarchy uniqueName="[services_weekly].[patients_refused]" caption="patients_refused" attribute="1" defaultMemberUniqueName="[services_weekly].[patients_refused].[All]" allUniqueName="[services_weekly].[patients_refused].[All]" dimensionUniqueName="[services_weekly]" displayFolder="" count="0" memberValueDatatype="20" unbalanced="0"/>
    <cacheHierarchy uniqueName="[services_weekly].[patient_satisfaction]" caption="patient_satisfaction" attribute="1" defaultMemberUniqueName="[services_weekly].[patient_satisfaction].[All]" allUniqueName="[services_weekly].[patient_satisfaction].[All]" dimensionUniqueName="[services_weekly]" displayFolder="" count="0" memberValueDatatype="20" unbalanced="0"/>
    <cacheHierarchy uniqueName="[services_weekly].[staff_morale]" caption="staff_morale" attribute="1" defaultMemberUniqueName="[services_weekly].[staff_morale].[All]" allUniqueName="[services_weekly].[staff_morale].[All]" dimensionUniqueName="[services_weekly]" displayFolder="" count="0" memberValueDatatype="20" unbalanced="0"/>
    <cacheHierarchy uniqueName="[services_weekly].[event]" caption="event" attribute="1" defaultMemberUniqueName="[services_weekly].[event].[All]" allUniqueName="[services_weekly].[event].[All]" dimensionUniqueName="[services_weekly]" displayFolder="" count="0" memberValueDatatype="130" unbalanced="0"/>
    <cacheHierarchy uniqueName="[services_weekly].[% of bed occupancy]" caption="% of bed occupancy" attribute="1" defaultMemberUniqueName="[services_weekly].[% of bed occupancy].[All]" allUniqueName="[services_weekly].[% of bed occupancy].[All]" dimensionUniqueName="[services_weekly]" displayFolder="" count="0" memberValueDatatype="5" unbalanced="0"/>
    <cacheHierarchy uniqueName="[staff].[staff_id]" caption="staff_id" attribute="1" defaultMemberUniqueName="[staff].[staff_id].[All]" allUniqueName="[staff].[staff_id].[All]" dimensionUniqueName="[staff]" displayFolder="" count="0" memberValueDatatype="130" unbalanced="0"/>
    <cacheHierarchy uniqueName="[staff].[staff_name]" caption="staff_name" attribute="1" defaultMemberUniqueName="[staff].[staff_name].[All]" allUniqueName="[staff].[staff_name].[All]" dimensionUniqueName="[staff]" displayFolder="" count="0" memberValueDatatype="130" unbalanced="0"/>
    <cacheHierarchy uniqueName="[staff].[role]" caption="role" attribute="1" defaultMemberUniqueName="[staff].[role].[All]" allUniqueName="[staff].[role].[All]" dimensionUniqueName="[staff]" displayFolder="" count="0" memberValueDatatype="130" unbalanced="0"/>
    <cacheHierarchy uniqueName="[staff].[service]" caption="service" attribute="1" defaultMemberUniqueName="[staff].[service].[All]" allUniqueName="[staff].[service].[All]" dimensionUniqueName="[staff]" displayFolder="" count="0" memberValueDatatype="130" unbalanced="0"/>
    <cacheHierarchy uniqueName="[Measures].[__XL_Count staff]" caption="__XL_Count staff" measure="1" displayFolder="" measureGroup="staff" count="0" hidden="1"/>
    <cacheHierarchy uniqueName="[Measures].[__XL_Count patients]" caption="__XL_Count patients" measure="1" displayFolder="" measureGroup="patients" count="0" hidden="1"/>
    <cacheHierarchy uniqueName="[Measures].[__XL_Count services_weekly]" caption="__XL_Count services_weekly" measure="1" displayFolder="" measureGroup="services_weekly" count="0" hidden="1"/>
    <cacheHierarchy uniqueName="[Measures].[__No measures defined]" caption="__No measures defined" measure="1" displayFolder="" count="0" hidden="1"/>
    <cacheHierarchy uniqueName="[Measures].[Count of staff_id]" caption="Count of staff_id" measure="1" displayFolder="" measureGroup="staff"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atients" count="0" hidden="1">
      <extLst>
        <ext xmlns:x15="http://schemas.microsoft.com/office/spreadsheetml/2010/11/main" uri="{B97F6D7D-B522-45F9-BDA1-12C45D357490}">
          <x15:cacheHierarchy aggregatedColumn="2"/>
        </ext>
      </extLst>
    </cacheHierarchy>
    <cacheHierarchy uniqueName="[Measures].[Sum of satisfaction]" caption="Sum of satisfaction" measure="1" displayFolder="" measureGroup="patients" count="0" hidden="1">
      <extLst>
        <ext xmlns:x15="http://schemas.microsoft.com/office/spreadsheetml/2010/11/main" uri="{B97F6D7D-B522-45F9-BDA1-12C45D357490}">
          <x15:cacheHierarchy aggregatedColumn="6"/>
        </ext>
      </extLst>
    </cacheHierarchy>
    <cacheHierarchy uniqueName="[Measures].[Average of satisfaction]" caption="Average of satisfaction" measure="1" displayFolder="" measureGroup="patients" count="0" hidden="1">
      <extLst>
        <ext xmlns:x15="http://schemas.microsoft.com/office/spreadsheetml/2010/11/main" uri="{B97F6D7D-B522-45F9-BDA1-12C45D357490}">
          <x15:cacheHierarchy aggregatedColumn="6"/>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0"/>
        </ext>
      </extLst>
    </cacheHierarchy>
    <cacheHierarchy uniqueName="[Measures].[Count of service]" caption="Count of service" measure="1" displayFolder="" measureGroup="patients"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services_weekly" count="0" hidden="1">
      <extLst>
        <ext xmlns:x15="http://schemas.microsoft.com/office/spreadsheetml/2010/11/main" uri="{B97F6D7D-B522-45F9-BDA1-12C45D357490}">
          <x15:cacheHierarchy aggregatedColumn="14"/>
        </ext>
      </extLst>
    </cacheHierarchy>
    <cacheHierarchy uniqueName="[Measures].[Sum of % of bed occupancy]" caption="Sum of % of bed occupancy" measure="1" displayFolder="" measureGroup="services_weekly" count="0" hidden="1">
      <extLst>
        <ext xmlns:x15="http://schemas.microsoft.com/office/spreadsheetml/2010/11/main" uri="{B97F6D7D-B522-45F9-BDA1-12C45D357490}">
          <x15:cacheHierarchy aggregatedColumn="23"/>
        </ext>
      </extLst>
    </cacheHierarchy>
    <cacheHierarchy uniqueName="[Measures].[Average of % of bed occupancy]" caption="Average of % of bed occupancy" measure="1" displayFolder="" measureGroup="services_weekly"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atient_satisfaction]" caption="Sum of patient_satisfaction" measure="1" displayFolder="" measureGroup="services_weekly" count="0" hidden="1">
      <extLst>
        <ext xmlns:x15="http://schemas.microsoft.com/office/spreadsheetml/2010/11/main" uri="{B97F6D7D-B522-45F9-BDA1-12C45D357490}">
          <x15:cacheHierarchy aggregatedColumn="20"/>
        </ext>
      </extLst>
    </cacheHierarchy>
    <cacheHierarchy uniqueName="[Measures].[Sum of staff_morale]" caption="Sum of staff_morale" measure="1" displayFolder="" measureGroup="services_weekly" count="0" hidden="1">
      <extLst>
        <ext xmlns:x15="http://schemas.microsoft.com/office/spreadsheetml/2010/11/main" uri="{B97F6D7D-B522-45F9-BDA1-12C45D357490}">
          <x15:cacheHierarchy aggregatedColumn="21"/>
        </ext>
      </extLst>
    </cacheHierarchy>
    <cacheHierarchy uniqueName="[Measures].[Average of patient_satisfaction]" caption="Average of patient_satisfaction" measure="1" displayFolder="" measureGroup="services_weekly" count="0" hidden="1">
      <extLst>
        <ext xmlns:x15="http://schemas.microsoft.com/office/spreadsheetml/2010/11/main" uri="{B97F6D7D-B522-45F9-BDA1-12C45D357490}">
          <x15:cacheHierarchy aggregatedColumn="20"/>
        </ext>
      </extLst>
    </cacheHierarchy>
    <cacheHierarchy uniqueName="[Measures].[Average of staff_morale]" caption="Average of staff_morale" measure="1" displayFolder="" measureGroup="services_weekly"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patients" uniqueName="[patients]" caption="patients"/>
    <dimension name="services_weekly" uniqueName="[services_weekly]" caption="services_weekly"/>
    <dimension name="staff" uniqueName="[staff]" caption="staff"/>
  </dimensions>
  <measureGroups count="3">
    <measureGroup name="patients" caption="patients"/>
    <measureGroup name="services_weekly" caption="services_weekly"/>
    <measureGroup name="staff" caption="staff"/>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inik Czerny" refreshedDate="45953.546651273151" createdVersion="8" refreshedVersion="8" minRefreshableVersion="3" recordCount="0" supportSubquery="1" supportAdvancedDrill="1" xr:uid="{7BC8A9C3-0EF4-44D4-9256-E1038890AE2A}">
  <cacheSource type="external" connectionId="5"/>
  <cacheFields count="3">
    <cacheField name="[Measures].[Average of patient_satisfaction]" caption="Average of patient_satisfaction" numFmtId="0" hierarchy="43" level="32767"/>
    <cacheField name="[services_weekly].[service].[service]" caption="service" numFmtId="0" hierarchy="15" level="1">
      <sharedItems count="4">
        <s v="emergency"/>
        <s v="general_medicine"/>
        <s v="ICU"/>
        <s v="surgery"/>
      </sharedItems>
    </cacheField>
    <cacheField name="[patients].[age_group].[age_group]" caption="age_group" numFmtId="0" hierarchy="8" level="1">
      <sharedItems containsSemiMixedTypes="0" containsNonDate="0" containsString="0"/>
    </cacheField>
  </cacheFields>
  <cacheHierarchies count="45">
    <cacheHierarchy uniqueName="[patients].[patient_id]" caption="patient_id" attribute="1" defaultMemberUniqueName="[patients].[patient_id].[All]" allUniqueName="[patients].[patient_id].[All]" dimensionUniqueName="[patients]" displayFolder="" count="0" memberValueDatatype="130" unbalanced="0"/>
    <cacheHierarchy uniqueName="[patients].[name]" caption="name" attribute="1" defaultMemberUniqueName="[patients].[name].[All]" allUniqueName="[patients].[name].[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rrival_date]" caption="arrival_date" attribute="1" time="1" defaultMemberUniqueName="[patients].[arrival_date].[All]" allUniqueName="[patients].[arrival_date].[All]" dimensionUniqueName="[patients]" displayFolder="" count="0" memberValueDatatype="7" unbalanced="0"/>
    <cacheHierarchy uniqueName="[patients].[departure_date]" caption="departure_date" attribute="1" time="1" defaultMemberUniqueName="[patients].[departure_date].[All]" allUniqueName="[patients].[departure_date].[All]" dimensionUniqueName="[patients]" displayFolder="" count="0" memberValueDatatype="7" unbalanced="0"/>
    <cacheHierarchy uniqueName="[patients].[service]" caption="service" attribute="1" defaultMemberUniqueName="[patients].[service].[All]" allUniqueName="[patients].[service].[All]" dimensionUniqueName="[patients]" displayFolder="" count="2" memberValueDatatype="130" unbalanced="0"/>
    <cacheHierarchy uniqueName="[patients].[satisfaction]" caption="satisfaction" attribute="1" defaultMemberUniqueName="[patients].[satisfaction].[All]" allUniqueName="[patients].[satisfaction].[All]" dimensionUniqueName="[patients]" displayFolder="" count="0" memberValueDatatype="20" unbalanced="0"/>
    <cacheHierarchy uniqueName="[patients].[length_of_stay]" caption="length_of_stay" attribute="1" defaultMemberUniqueName="[patients].[length_of_stay].[All]" allUniqueName="[patients].[length_of_stay].[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2" memberValueDatatype="130" unbalanced="0">
      <fieldsUsage count="2">
        <fieldUsage x="-1"/>
        <fieldUsage x="2"/>
      </fieldsUsage>
    </cacheHierarchy>
    <cacheHierarchy uniqueName="[patients].[month_name (when arrived)]" caption="month_name (when arrived)" attribute="1" defaultMemberUniqueName="[patients].[month_name (when arrived)].[All]" allUniqueName="[patients].[month_name (when arrived)].[All]" dimensionUniqueName="[patients]" displayFolder="" count="0" memberValueDatatype="130" unbalanced="0"/>
    <cacheHierarchy uniqueName="[patients].[over_average_stay_or_not]" caption="over_average_stay_or_not" attribute="1" defaultMemberUniqueName="[patients].[over_average_stay_or_not].[All]" allUniqueName="[patients].[over_average_stay_or_not].[All]" dimensionUniqueName="[patients]" displayFolder="" count="0" memberValueDatatype="130" unbalanced="0"/>
    <cacheHierarchy uniqueName="[patients].[arrival_date (Month Index)]" caption="arrival_date (Month Index)" attribute="1" defaultMemberUniqueName="[patients].[arrival_date (Month Index)].[All]" allUniqueName="[patients].[arrival_date (Month Index)].[All]" dimensionUniqueName="[patients]" displayFolder="" count="0" memberValueDatatype="20" unbalanced="0"/>
    <cacheHierarchy uniqueName="[patients].[arrival_date (Month)]" caption="arrival_date (Month)" attribute="1" defaultMemberUniqueName="[patients].[arrival_date (Month)].[All]" allUniqueName="[patients].[arrival_date (Month)].[All]" dimensionUniqueName="[patients]" displayFolder="" count="0" memberValueDatatype="130" unbalanced="0"/>
    <cacheHierarchy uniqueName="[services_weekly].[week]" caption="week" attribute="1" defaultMemberUniqueName="[services_weekly].[week].[All]" allUniqueName="[services_weekly].[week].[All]" dimensionUniqueName="[services_weekly]" displayFolder="" count="0" memberValueDatatype="20" unbalanced="0"/>
    <cacheHierarchy uniqueName="[services_weekly].[month]" caption="month" attribute="1" defaultMemberUniqueName="[services_weekly].[month].[All]" allUniqueName="[services_weekly].[month].[All]" dimensionUniqueName="[services_weekly]" displayFolder="" count="0" memberValueDatatype="20" unbalanced="0"/>
    <cacheHierarchy uniqueName="[services_weekly].[service]" caption="service" attribute="1" defaultMemberUniqueName="[services_weekly].[service].[All]" allUniqueName="[services_weekly].[service].[All]" dimensionUniqueName="[services_weekly]" displayFolder="" count="2" memberValueDatatype="130" unbalanced="0">
      <fieldsUsage count="2">
        <fieldUsage x="-1"/>
        <fieldUsage x="1"/>
      </fieldsUsage>
    </cacheHierarchy>
    <cacheHierarchy uniqueName="[services_weekly].[available_beds]" caption="available_beds" attribute="1" defaultMemberUniqueName="[services_weekly].[available_beds].[All]" allUniqueName="[services_weekly].[available_beds].[All]" dimensionUniqueName="[services_weekly]" displayFolder="" count="0" memberValueDatatype="20" unbalanced="0"/>
    <cacheHierarchy uniqueName="[services_weekly].[patients_request]" caption="patients_request" attribute="1" defaultMemberUniqueName="[services_weekly].[patients_request].[All]" allUniqueName="[services_weekly].[patients_request].[All]" dimensionUniqueName="[services_weekly]" displayFolder="" count="0" memberValueDatatype="20" unbalanced="0"/>
    <cacheHierarchy uniqueName="[services_weekly].[patients_admitted]" caption="patients_admitted" attribute="1" defaultMemberUniqueName="[services_weekly].[patients_admitted].[All]" allUniqueName="[services_weekly].[patients_admitted].[All]" dimensionUniqueName="[services_weekly]" displayFolder="" count="0" memberValueDatatype="20" unbalanced="0"/>
    <cacheHierarchy uniqueName="[services_weekly].[patients_refused]" caption="patients_refused" attribute="1" defaultMemberUniqueName="[services_weekly].[patients_refused].[All]" allUniqueName="[services_weekly].[patients_refused].[All]" dimensionUniqueName="[services_weekly]" displayFolder="" count="0" memberValueDatatype="20" unbalanced="0"/>
    <cacheHierarchy uniqueName="[services_weekly].[patient_satisfaction]" caption="patient_satisfaction" attribute="1" defaultMemberUniqueName="[services_weekly].[patient_satisfaction].[All]" allUniqueName="[services_weekly].[patient_satisfaction].[All]" dimensionUniqueName="[services_weekly]" displayFolder="" count="0" memberValueDatatype="20" unbalanced="0"/>
    <cacheHierarchy uniqueName="[services_weekly].[staff_morale]" caption="staff_morale" attribute="1" defaultMemberUniqueName="[services_weekly].[staff_morale].[All]" allUniqueName="[services_weekly].[staff_morale].[All]" dimensionUniqueName="[services_weekly]" displayFolder="" count="0" memberValueDatatype="20" unbalanced="0"/>
    <cacheHierarchy uniqueName="[services_weekly].[event]" caption="event" attribute="1" defaultMemberUniqueName="[services_weekly].[event].[All]" allUniqueName="[services_weekly].[event].[All]" dimensionUniqueName="[services_weekly]" displayFolder="" count="0" memberValueDatatype="130" unbalanced="0"/>
    <cacheHierarchy uniqueName="[services_weekly].[% of bed occupancy]" caption="% of bed occupancy" attribute="1" defaultMemberUniqueName="[services_weekly].[% of bed occupancy].[All]" allUniqueName="[services_weekly].[% of bed occupancy].[All]" dimensionUniqueName="[services_weekly]" displayFolder="" count="0" memberValueDatatype="5" unbalanced="0"/>
    <cacheHierarchy uniqueName="[staff].[staff_id]" caption="staff_id" attribute="1" defaultMemberUniqueName="[staff].[staff_id].[All]" allUniqueName="[staff].[staff_id].[All]" dimensionUniqueName="[staff]" displayFolder="" count="0" memberValueDatatype="130" unbalanced="0"/>
    <cacheHierarchy uniqueName="[staff].[staff_name]" caption="staff_name" attribute="1" defaultMemberUniqueName="[staff].[staff_name].[All]" allUniqueName="[staff].[staff_name].[All]" dimensionUniqueName="[staff]" displayFolder="" count="0" memberValueDatatype="130" unbalanced="0"/>
    <cacheHierarchy uniqueName="[staff].[role]" caption="role" attribute="1" defaultMemberUniqueName="[staff].[role].[All]" allUniqueName="[staff].[role].[All]" dimensionUniqueName="[staff]" displayFolder="" count="0" memberValueDatatype="130" unbalanced="0"/>
    <cacheHierarchy uniqueName="[staff].[service]" caption="service" attribute="1" defaultMemberUniqueName="[staff].[service].[All]" allUniqueName="[staff].[service].[All]" dimensionUniqueName="[staff]" displayFolder="" count="0" memberValueDatatype="130" unbalanced="0"/>
    <cacheHierarchy uniqueName="[Measures].[__XL_Count staff]" caption="__XL_Count staff" measure="1" displayFolder="" measureGroup="staff" count="0" hidden="1"/>
    <cacheHierarchy uniqueName="[Measures].[__XL_Count patients]" caption="__XL_Count patients" measure="1" displayFolder="" measureGroup="patients" count="0" hidden="1"/>
    <cacheHierarchy uniqueName="[Measures].[__XL_Count services_weekly]" caption="__XL_Count services_weekly" measure="1" displayFolder="" measureGroup="services_weekly" count="0" hidden="1"/>
    <cacheHierarchy uniqueName="[Measures].[__No measures defined]" caption="__No measures defined" measure="1" displayFolder="" count="0" hidden="1"/>
    <cacheHierarchy uniqueName="[Measures].[Count of staff_id]" caption="Count of staff_id" measure="1" displayFolder="" measureGroup="staff"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atients" count="0" hidden="1">
      <extLst>
        <ext xmlns:x15="http://schemas.microsoft.com/office/spreadsheetml/2010/11/main" uri="{B97F6D7D-B522-45F9-BDA1-12C45D357490}">
          <x15:cacheHierarchy aggregatedColumn="2"/>
        </ext>
      </extLst>
    </cacheHierarchy>
    <cacheHierarchy uniqueName="[Measures].[Sum of satisfaction]" caption="Sum of satisfaction" measure="1" displayFolder="" measureGroup="patients" count="0" hidden="1">
      <extLst>
        <ext xmlns:x15="http://schemas.microsoft.com/office/spreadsheetml/2010/11/main" uri="{B97F6D7D-B522-45F9-BDA1-12C45D357490}">
          <x15:cacheHierarchy aggregatedColumn="6"/>
        </ext>
      </extLst>
    </cacheHierarchy>
    <cacheHierarchy uniqueName="[Measures].[Average of satisfaction]" caption="Average of satisfaction" measure="1" displayFolder="" measureGroup="patients" count="0" hidden="1">
      <extLst>
        <ext xmlns:x15="http://schemas.microsoft.com/office/spreadsheetml/2010/11/main" uri="{B97F6D7D-B522-45F9-BDA1-12C45D357490}">
          <x15:cacheHierarchy aggregatedColumn="6"/>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0"/>
        </ext>
      </extLst>
    </cacheHierarchy>
    <cacheHierarchy uniqueName="[Measures].[Count of service]" caption="Count of service" measure="1" displayFolder="" measureGroup="patients"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services_weekly" count="0" hidden="1">
      <extLst>
        <ext xmlns:x15="http://schemas.microsoft.com/office/spreadsheetml/2010/11/main" uri="{B97F6D7D-B522-45F9-BDA1-12C45D357490}">
          <x15:cacheHierarchy aggregatedColumn="14"/>
        </ext>
      </extLst>
    </cacheHierarchy>
    <cacheHierarchy uniqueName="[Measures].[Sum of % of bed occupancy]" caption="Sum of % of bed occupancy" measure="1" displayFolder="" measureGroup="services_weekly" count="0" hidden="1">
      <extLst>
        <ext xmlns:x15="http://schemas.microsoft.com/office/spreadsheetml/2010/11/main" uri="{B97F6D7D-B522-45F9-BDA1-12C45D357490}">
          <x15:cacheHierarchy aggregatedColumn="23"/>
        </ext>
      </extLst>
    </cacheHierarchy>
    <cacheHierarchy uniqueName="[Measures].[Average of % of bed occupancy]" caption="Average of % of bed occupancy" measure="1" displayFolder="" measureGroup="services_weekly" count="0" hidden="1">
      <extLst>
        <ext xmlns:x15="http://schemas.microsoft.com/office/spreadsheetml/2010/11/main" uri="{B97F6D7D-B522-45F9-BDA1-12C45D357490}">
          <x15:cacheHierarchy aggregatedColumn="23"/>
        </ext>
      </extLst>
    </cacheHierarchy>
    <cacheHierarchy uniqueName="[Measures].[Sum of patient_satisfaction]" caption="Sum of patient_satisfaction" measure="1" displayFolder="" measureGroup="services_weekly" count="0" hidden="1">
      <extLst>
        <ext xmlns:x15="http://schemas.microsoft.com/office/spreadsheetml/2010/11/main" uri="{B97F6D7D-B522-45F9-BDA1-12C45D357490}">
          <x15:cacheHierarchy aggregatedColumn="20"/>
        </ext>
      </extLst>
    </cacheHierarchy>
    <cacheHierarchy uniqueName="[Measures].[Sum of staff_morale]" caption="Sum of staff_morale" measure="1" displayFolder="" measureGroup="services_weekly" count="0" hidden="1">
      <extLst>
        <ext xmlns:x15="http://schemas.microsoft.com/office/spreadsheetml/2010/11/main" uri="{B97F6D7D-B522-45F9-BDA1-12C45D357490}">
          <x15:cacheHierarchy aggregatedColumn="21"/>
        </ext>
      </extLst>
    </cacheHierarchy>
    <cacheHierarchy uniqueName="[Measures].[Average of patient_satisfaction]" caption="Average of patient_satisfaction" measure="1" displayFolder="" measureGroup="services_weekly"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staff_morale]" caption="Average of staff_morale" measure="1" displayFolder="" measureGroup="services_weekly"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patients" uniqueName="[patients]" caption="patients"/>
    <dimension name="services_weekly" uniqueName="[services_weekly]" caption="services_weekly"/>
    <dimension name="staff" uniqueName="[staff]" caption="staff"/>
  </dimensions>
  <measureGroups count="3">
    <measureGroup name="patients" caption="patients"/>
    <measureGroup name="services_weekly" caption="services_weekly"/>
    <measureGroup name="staff" caption="staff"/>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inik Czerny" refreshedDate="45953.546651736113" createdVersion="8" refreshedVersion="8" minRefreshableVersion="3" recordCount="0" supportSubquery="1" supportAdvancedDrill="1" xr:uid="{825EA946-85B5-4C33-95C5-6163E374B6EF}">
  <cacheSource type="external" connectionId="5"/>
  <cacheFields count="3">
    <cacheField name="[Measures].[Average of satisfaction]" caption="Average of satisfaction" numFmtId="0" hierarchy="35" level="32767"/>
    <cacheField name="[patients].[length_of_stay].[length_of_stay]" caption="length_of_stay" numFmtId="0" hierarchy="7" level="1">
      <sharedItems containsSemiMixedTypes="0" containsString="0" containsNumber="1" containsInteger="1" minValue="1" maxValue="14" count="14">
        <n v="1"/>
        <n v="2"/>
        <n v="3"/>
        <n v="4"/>
        <n v="5"/>
        <n v="6"/>
        <n v="7"/>
        <n v="8"/>
        <n v="9"/>
        <n v="10"/>
        <n v="11"/>
        <n v="12"/>
        <n v="13"/>
        <n v="14"/>
      </sharedItems>
      <extLst>
        <ext xmlns:x15="http://schemas.microsoft.com/office/spreadsheetml/2010/11/main" uri="{4F2E5C28-24EA-4eb8-9CBF-B6C8F9C3D259}">
          <x15:cachedUniqueNames>
            <x15:cachedUniqueName index="0" name="[patients].[length_of_stay].&amp;[1]"/>
            <x15:cachedUniqueName index="1" name="[patients].[length_of_stay].&amp;[2]"/>
            <x15:cachedUniqueName index="2" name="[patients].[length_of_stay].&amp;[3]"/>
            <x15:cachedUniqueName index="3" name="[patients].[length_of_stay].&amp;[4]"/>
            <x15:cachedUniqueName index="4" name="[patients].[length_of_stay].&amp;[5]"/>
            <x15:cachedUniqueName index="5" name="[patients].[length_of_stay].&amp;[6]"/>
            <x15:cachedUniqueName index="6" name="[patients].[length_of_stay].&amp;[7]"/>
            <x15:cachedUniqueName index="7" name="[patients].[length_of_stay].&amp;[8]"/>
            <x15:cachedUniqueName index="8" name="[patients].[length_of_stay].&amp;[9]"/>
            <x15:cachedUniqueName index="9" name="[patients].[length_of_stay].&amp;[10]"/>
            <x15:cachedUniqueName index="10" name="[patients].[length_of_stay].&amp;[11]"/>
            <x15:cachedUniqueName index="11" name="[patients].[length_of_stay].&amp;[12]"/>
            <x15:cachedUniqueName index="12" name="[patients].[length_of_stay].&amp;[13]"/>
            <x15:cachedUniqueName index="13" name="[patients].[length_of_stay].&amp;[14]"/>
          </x15:cachedUniqueNames>
        </ext>
      </extLst>
    </cacheField>
    <cacheField name="[patients].[age_group].[age_group]" caption="age_group" numFmtId="0" hierarchy="8" level="1">
      <sharedItems containsSemiMixedTypes="0" containsNonDate="0" containsString="0"/>
    </cacheField>
  </cacheFields>
  <cacheHierarchies count="45">
    <cacheHierarchy uniqueName="[patients].[patient_id]" caption="patient_id" attribute="1" defaultMemberUniqueName="[patients].[patient_id].[All]" allUniqueName="[patients].[patient_id].[All]" dimensionUniqueName="[patients]" displayFolder="" count="0" memberValueDatatype="130" unbalanced="0"/>
    <cacheHierarchy uniqueName="[patients].[name]" caption="name" attribute="1" defaultMemberUniqueName="[patients].[name].[All]" allUniqueName="[patients].[name].[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rrival_date]" caption="arrival_date" attribute="1" time="1" defaultMemberUniqueName="[patients].[arrival_date].[All]" allUniqueName="[patients].[arrival_date].[All]" dimensionUniqueName="[patients]" displayFolder="" count="0" memberValueDatatype="7" unbalanced="0"/>
    <cacheHierarchy uniqueName="[patients].[departure_date]" caption="departure_date" attribute="1" time="1" defaultMemberUniqueName="[patients].[departure_date].[All]" allUniqueName="[patients].[departure_date].[All]" dimensionUniqueName="[patients]" displayFolder="" count="0" memberValueDatatype="7" unbalanced="0"/>
    <cacheHierarchy uniqueName="[patients].[service]" caption="service" attribute="1" defaultMemberUniqueName="[patients].[service].[All]" allUniqueName="[patients].[service].[All]" dimensionUniqueName="[patients]" displayFolder="" count="2" memberValueDatatype="130" unbalanced="0"/>
    <cacheHierarchy uniqueName="[patients].[satisfaction]" caption="satisfaction" attribute="1" defaultMemberUniqueName="[patients].[satisfaction].[All]" allUniqueName="[patients].[satisfaction].[All]" dimensionUniqueName="[patients]" displayFolder="" count="0" memberValueDatatype="20" unbalanced="0"/>
    <cacheHierarchy uniqueName="[patients].[length_of_stay]" caption="length_of_stay" attribute="1" defaultMemberUniqueName="[patients].[length_of_stay].[All]" allUniqueName="[patients].[length_of_stay].[All]" dimensionUniqueName="[patients]" displayFolder="" count="2" memberValueDatatype="20" unbalanced="0">
      <fieldsUsage count="2">
        <fieldUsage x="-1"/>
        <fieldUsage x="1"/>
      </fieldsUsage>
    </cacheHierarchy>
    <cacheHierarchy uniqueName="[patients].[age_group]" caption="age_group" attribute="1" defaultMemberUniqueName="[patients].[age_group].[All]" allUniqueName="[patients].[age_group].[All]" dimensionUniqueName="[patients]" displayFolder="" count="2" memberValueDatatype="130" unbalanced="0">
      <fieldsUsage count="2">
        <fieldUsage x="-1"/>
        <fieldUsage x="2"/>
      </fieldsUsage>
    </cacheHierarchy>
    <cacheHierarchy uniqueName="[patients].[month_name (when arrived)]" caption="month_name (when arrived)" attribute="1" defaultMemberUniqueName="[patients].[month_name (when arrived)].[All]" allUniqueName="[patients].[month_name (when arrived)].[All]" dimensionUniqueName="[patients]" displayFolder="" count="0" memberValueDatatype="130" unbalanced="0"/>
    <cacheHierarchy uniqueName="[patients].[over_average_stay_or_not]" caption="over_average_stay_or_not" attribute="1" defaultMemberUniqueName="[patients].[over_average_stay_or_not].[All]" allUniqueName="[patients].[over_average_stay_or_not].[All]" dimensionUniqueName="[patients]" displayFolder="" count="0" memberValueDatatype="130" unbalanced="0"/>
    <cacheHierarchy uniqueName="[patients].[arrival_date (Month Index)]" caption="arrival_date (Month Index)" attribute="1" defaultMemberUniqueName="[patients].[arrival_date (Month Index)].[All]" allUniqueName="[patients].[arrival_date (Month Index)].[All]" dimensionUniqueName="[patients]" displayFolder="" count="0" memberValueDatatype="20" unbalanced="0"/>
    <cacheHierarchy uniqueName="[patients].[arrival_date (Month)]" caption="arrival_date (Month)" attribute="1" defaultMemberUniqueName="[patients].[arrival_date (Month)].[All]" allUniqueName="[patients].[arrival_date (Month)].[All]" dimensionUniqueName="[patients]" displayFolder="" count="0" memberValueDatatype="130" unbalanced="0"/>
    <cacheHierarchy uniqueName="[services_weekly].[week]" caption="week" attribute="1" defaultMemberUniqueName="[services_weekly].[week].[All]" allUniqueName="[services_weekly].[week].[All]" dimensionUniqueName="[services_weekly]" displayFolder="" count="0" memberValueDatatype="20" unbalanced="0"/>
    <cacheHierarchy uniqueName="[services_weekly].[month]" caption="month" attribute="1" defaultMemberUniqueName="[services_weekly].[month].[All]" allUniqueName="[services_weekly].[month].[All]" dimensionUniqueName="[services_weekly]" displayFolder="" count="0" memberValueDatatype="20" unbalanced="0"/>
    <cacheHierarchy uniqueName="[services_weekly].[service]" caption="service" attribute="1" defaultMemberUniqueName="[services_weekly].[service].[All]" allUniqueName="[services_weekly].[service].[All]" dimensionUniqueName="[services_weekly]" displayFolder="" count="0" memberValueDatatype="130" unbalanced="0"/>
    <cacheHierarchy uniqueName="[services_weekly].[available_beds]" caption="available_beds" attribute="1" defaultMemberUniqueName="[services_weekly].[available_beds].[All]" allUniqueName="[services_weekly].[available_beds].[All]" dimensionUniqueName="[services_weekly]" displayFolder="" count="0" memberValueDatatype="20" unbalanced="0"/>
    <cacheHierarchy uniqueName="[services_weekly].[patients_request]" caption="patients_request" attribute="1" defaultMemberUniqueName="[services_weekly].[patients_request].[All]" allUniqueName="[services_weekly].[patients_request].[All]" dimensionUniqueName="[services_weekly]" displayFolder="" count="0" memberValueDatatype="20" unbalanced="0"/>
    <cacheHierarchy uniqueName="[services_weekly].[patients_admitted]" caption="patients_admitted" attribute="1" defaultMemberUniqueName="[services_weekly].[patients_admitted].[All]" allUniqueName="[services_weekly].[patients_admitted].[All]" dimensionUniqueName="[services_weekly]" displayFolder="" count="0" memberValueDatatype="20" unbalanced="0"/>
    <cacheHierarchy uniqueName="[services_weekly].[patients_refused]" caption="patients_refused" attribute="1" defaultMemberUniqueName="[services_weekly].[patients_refused].[All]" allUniqueName="[services_weekly].[patients_refused].[All]" dimensionUniqueName="[services_weekly]" displayFolder="" count="0" memberValueDatatype="20" unbalanced="0"/>
    <cacheHierarchy uniqueName="[services_weekly].[patient_satisfaction]" caption="patient_satisfaction" attribute="1" defaultMemberUniqueName="[services_weekly].[patient_satisfaction].[All]" allUniqueName="[services_weekly].[patient_satisfaction].[All]" dimensionUniqueName="[services_weekly]" displayFolder="" count="0" memberValueDatatype="20" unbalanced="0"/>
    <cacheHierarchy uniqueName="[services_weekly].[staff_morale]" caption="staff_morale" attribute="1" defaultMemberUniqueName="[services_weekly].[staff_morale].[All]" allUniqueName="[services_weekly].[staff_morale].[All]" dimensionUniqueName="[services_weekly]" displayFolder="" count="0" memberValueDatatype="20" unbalanced="0"/>
    <cacheHierarchy uniqueName="[services_weekly].[event]" caption="event" attribute="1" defaultMemberUniqueName="[services_weekly].[event].[All]" allUniqueName="[services_weekly].[event].[All]" dimensionUniqueName="[services_weekly]" displayFolder="" count="0" memberValueDatatype="130" unbalanced="0"/>
    <cacheHierarchy uniqueName="[services_weekly].[% of bed occupancy]" caption="% of bed occupancy" attribute="1" defaultMemberUniqueName="[services_weekly].[% of bed occupancy].[All]" allUniqueName="[services_weekly].[% of bed occupancy].[All]" dimensionUniqueName="[services_weekly]" displayFolder="" count="0" memberValueDatatype="5" unbalanced="0"/>
    <cacheHierarchy uniqueName="[staff].[staff_id]" caption="staff_id" attribute="1" defaultMemberUniqueName="[staff].[staff_id].[All]" allUniqueName="[staff].[staff_id].[All]" dimensionUniqueName="[staff]" displayFolder="" count="0" memberValueDatatype="130" unbalanced="0"/>
    <cacheHierarchy uniqueName="[staff].[staff_name]" caption="staff_name" attribute="1" defaultMemberUniqueName="[staff].[staff_name].[All]" allUniqueName="[staff].[staff_name].[All]" dimensionUniqueName="[staff]" displayFolder="" count="0" memberValueDatatype="130" unbalanced="0"/>
    <cacheHierarchy uniqueName="[staff].[role]" caption="role" attribute="1" defaultMemberUniqueName="[staff].[role].[All]" allUniqueName="[staff].[role].[All]" dimensionUniqueName="[staff]" displayFolder="" count="0" memberValueDatatype="130" unbalanced="0"/>
    <cacheHierarchy uniqueName="[staff].[service]" caption="service" attribute="1" defaultMemberUniqueName="[staff].[service].[All]" allUniqueName="[staff].[service].[All]" dimensionUniqueName="[staff]" displayFolder="" count="0" memberValueDatatype="130" unbalanced="0"/>
    <cacheHierarchy uniqueName="[Measures].[__XL_Count staff]" caption="__XL_Count staff" measure="1" displayFolder="" measureGroup="staff" count="0" hidden="1"/>
    <cacheHierarchy uniqueName="[Measures].[__XL_Count patients]" caption="__XL_Count patients" measure="1" displayFolder="" measureGroup="patients" count="0" hidden="1"/>
    <cacheHierarchy uniqueName="[Measures].[__XL_Count services_weekly]" caption="__XL_Count services_weekly" measure="1" displayFolder="" measureGroup="services_weekly" count="0" hidden="1"/>
    <cacheHierarchy uniqueName="[Measures].[__No measures defined]" caption="__No measures defined" measure="1" displayFolder="" count="0" hidden="1"/>
    <cacheHierarchy uniqueName="[Measures].[Count of staff_id]" caption="Count of staff_id" measure="1" displayFolder="" measureGroup="staff"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atients" count="0" hidden="1">
      <extLst>
        <ext xmlns:x15="http://schemas.microsoft.com/office/spreadsheetml/2010/11/main" uri="{B97F6D7D-B522-45F9-BDA1-12C45D357490}">
          <x15:cacheHierarchy aggregatedColumn="2"/>
        </ext>
      </extLst>
    </cacheHierarchy>
    <cacheHierarchy uniqueName="[Measures].[Sum of satisfaction]" caption="Sum of satisfaction" measure="1" displayFolder="" measureGroup="patients" count="0" hidden="1">
      <extLst>
        <ext xmlns:x15="http://schemas.microsoft.com/office/spreadsheetml/2010/11/main" uri="{B97F6D7D-B522-45F9-BDA1-12C45D357490}">
          <x15:cacheHierarchy aggregatedColumn="6"/>
        </ext>
      </extLst>
    </cacheHierarchy>
    <cacheHierarchy uniqueName="[Measures].[Average of satisfaction]" caption="Average of satisfaction" measure="1" displayFolder="" measureGroup="patients"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0"/>
        </ext>
      </extLst>
    </cacheHierarchy>
    <cacheHierarchy uniqueName="[Measures].[Count of service]" caption="Count of service" measure="1" displayFolder="" measureGroup="patients"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services_weekly" count="0" hidden="1">
      <extLst>
        <ext xmlns:x15="http://schemas.microsoft.com/office/spreadsheetml/2010/11/main" uri="{B97F6D7D-B522-45F9-BDA1-12C45D357490}">
          <x15:cacheHierarchy aggregatedColumn="14"/>
        </ext>
      </extLst>
    </cacheHierarchy>
    <cacheHierarchy uniqueName="[Measures].[Sum of % of bed occupancy]" caption="Sum of % of bed occupancy" measure="1" displayFolder="" measureGroup="services_weekly" count="0" hidden="1">
      <extLst>
        <ext xmlns:x15="http://schemas.microsoft.com/office/spreadsheetml/2010/11/main" uri="{B97F6D7D-B522-45F9-BDA1-12C45D357490}">
          <x15:cacheHierarchy aggregatedColumn="23"/>
        </ext>
      </extLst>
    </cacheHierarchy>
    <cacheHierarchy uniqueName="[Measures].[Average of % of bed occupancy]" caption="Average of % of bed occupancy" measure="1" displayFolder="" measureGroup="services_weekly" count="0" hidden="1">
      <extLst>
        <ext xmlns:x15="http://schemas.microsoft.com/office/spreadsheetml/2010/11/main" uri="{B97F6D7D-B522-45F9-BDA1-12C45D357490}">
          <x15:cacheHierarchy aggregatedColumn="23"/>
        </ext>
      </extLst>
    </cacheHierarchy>
    <cacheHierarchy uniqueName="[Measures].[Sum of patient_satisfaction]" caption="Sum of patient_satisfaction" measure="1" displayFolder="" measureGroup="services_weekly" count="0" hidden="1">
      <extLst>
        <ext xmlns:x15="http://schemas.microsoft.com/office/spreadsheetml/2010/11/main" uri="{B97F6D7D-B522-45F9-BDA1-12C45D357490}">
          <x15:cacheHierarchy aggregatedColumn="20"/>
        </ext>
      </extLst>
    </cacheHierarchy>
    <cacheHierarchy uniqueName="[Measures].[Sum of staff_morale]" caption="Sum of staff_morale" measure="1" displayFolder="" measureGroup="services_weekly" count="0" hidden="1">
      <extLst>
        <ext xmlns:x15="http://schemas.microsoft.com/office/spreadsheetml/2010/11/main" uri="{B97F6D7D-B522-45F9-BDA1-12C45D357490}">
          <x15:cacheHierarchy aggregatedColumn="21"/>
        </ext>
      </extLst>
    </cacheHierarchy>
    <cacheHierarchy uniqueName="[Measures].[Average of patient_satisfaction]" caption="Average of patient_satisfaction" measure="1" displayFolder="" measureGroup="services_weekly" count="0" hidden="1">
      <extLst>
        <ext xmlns:x15="http://schemas.microsoft.com/office/spreadsheetml/2010/11/main" uri="{B97F6D7D-B522-45F9-BDA1-12C45D357490}">
          <x15:cacheHierarchy aggregatedColumn="20"/>
        </ext>
      </extLst>
    </cacheHierarchy>
    <cacheHierarchy uniqueName="[Measures].[Average of staff_morale]" caption="Average of staff_morale" measure="1" displayFolder="" measureGroup="services_weekly"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patients" uniqueName="[patients]" caption="patients"/>
    <dimension name="services_weekly" uniqueName="[services_weekly]" caption="services_weekly"/>
    <dimension name="staff" uniqueName="[staff]" caption="staff"/>
  </dimensions>
  <measureGroups count="3">
    <measureGroup name="patients" caption="patients"/>
    <measureGroup name="services_weekly" caption="services_weekly"/>
    <measureGroup name="staff" caption="staff"/>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minik Czerny" refreshedDate="45953.509069907406" createdVersion="3" refreshedVersion="8" minRefreshableVersion="3" recordCount="0" supportSubquery="1" supportAdvancedDrill="1" xr:uid="{C2435731-E9D4-451A-930E-0304E231D6C2}">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patients].[patient_id]" caption="patient_id" attribute="1" defaultMemberUniqueName="[patients].[patient_id].[All]" allUniqueName="[patients].[patient_id].[All]" dimensionUniqueName="[patients]" displayFolder="" count="0" memberValueDatatype="130" unbalanced="0"/>
    <cacheHierarchy uniqueName="[patients].[name]" caption="name" attribute="1" defaultMemberUniqueName="[patients].[name].[All]" allUniqueName="[patients].[name].[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rrival_date]" caption="arrival_date" attribute="1" time="1" defaultMemberUniqueName="[patients].[arrival_date].[All]" allUniqueName="[patients].[arrival_date].[All]" dimensionUniqueName="[patients]" displayFolder="" count="0" memberValueDatatype="7" unbalanced="0"/>
    <cacheHierarchy uniqueName="[patients].[departure_date]" caption="departure_date" attribute="1" time="1" defaultMemberUniqueName="[patients].[departure_date].[All]" allUniqueName="[patients].[departure_date].[All]" dimensionUniqueName="[patients]" displayFolder="" count="0" memberValueDatatype="7" unbalanced="0"/>
    <cacheHierarchy uniqueName="[patients].[service]" caption="service" attribute="1" defaultMemberUniqueName="[patients].[service].[All]" allUniqueName="[patients].[service].[All]" dimensionUniqueName="[patients]" displayFolder="" count="2" memberValueDatatype="130" unbalanced="0"/>
    <cacheHierarchy uniqueName="[patients].[satisfaction]" caption="satisfaction" attribute="1" defaultMemberUniqueName="[patients].[satisfaction].[All]" allUniqueName="[patients].[satisfaction].[All]" dimensionUniqueName="[patients]" displayFolder="" count="0" memberValueDatatype="20" unbalanced="0"/>
    <cacheHierarchy uniqueName="[patients].[length_of_stay]" caption="length_of_stay" attribute="1" defaultMemberUniqueName="[patients].[length_of_stay].[All]" allUniqueName="[patients].[length_of_stay].[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2" memberValueDatatype="130" unbalanced="0"/>
    <cacheHierarchy uniqueName="[patients].[month_name (when arrived)]" caption="month_name (when arrived)" attribute="1" defaultMemberUniqueName="[patients].[month_name (when arrived)].[All]" allUniqueName="[patients].[month_name (when arrived)].[All]" dimensionUniqueName="[patients]" displayFolder="" count="0" memberValueDatatype="130" unbalanced="0"/>
    <cacheHierarchy uniqueName="[patients].[over_average_stay_or_not]" caption="over_average_stay_or_not" attribute="1" defaultMemberUniqueName="[patients].[over_average_stay_or_not].[All]" allUniqueName="[patients].[over_average_stay_or_not].[All]" dimensionUniqueName="[patients]" displayFolder="" count="0" memberValueDatatype="130" unbalanced="0"/>
    <cacheHierarchy uniqueName="[patients].[arrival_date (Month Index)]" caption="arrival_date (Month Index)" attribute="1" defaultMemberUniqueName="[patients].[arrival_date (Month Index)].[All]" allUniqueName="[patients].[arrival_date (Month Index)].[All]" dimensionUniqueName="[patients]" displayFolder="" count="0" memberValueDatatype="20" unbalanced="0"/>
    <cacheHierarchy uniqueName="[patients].[arrival_date (Month)]" caption="arrival_date (Month)" attribute="1" defaultMemberUniqueName="[patients].[arrival_date (Month)].[All]" allUniqueName="[patients].[arrival_date (Month)].[All]" dimensionUniqueName="[patients]" displayFolder="" count="0" memberValueDatatype="130" unbalanced="0"/>
    <cacheHierarchy uniqueName="[services_weekly].[week]" caption="week" attribute="1" defaultMemberUniqueName="[services_weekly].[week].[All]" allUniqueName="[services_weekly].[week].[All]" dimensionUniqueName="[services_weekly]" displayFolder="" count="0" memberValueDatatype="20" unbalanced="0"/>
    <cacheHierarchy uniqueName="[services_weekly].[month]" caption="month" attribute="1" defaultMemberUniqueName="[services_weekly].[month].[All]" allUniqueName="[services_weekly].[month].[All]" dimensionUniqueName="[services_weekly]" displayFolder="" count="0" memberValueDatatype="20" unbalanced="0"/>
    <cacheHierarchy uniqueName="[services_weekly].[service]" caption="service" attribute="1" defaultMemberUniqueName="[services_weekly].[service].[All]" allUniqueName="[services_weekly].[service].[All]" dimensionUniqueName="[services_weekly]" displayFolder="" count="0" memberValueDatatype="130" unbalanced="0"/>
    <cacheHierarchy uniqueName="[services_weekly].[available_beds]" caption="available_beds" attribute="1" defaultMemberUniqueName="[services_weekly].[available_beds].[All]" allUniqueName="[services_weekly].[available_beds].[All]" dimensionUniqueName="[services_weekly]" displayFolder="" count="0" memberValueDatatype="20" unbalanced="0"/>
    <cacheHierarchy uniqueName="[services_weekly].[patients_request]" caption="patients_request" attribute="1" defaultMemberUniqueName="[services_weekly].[patients_request].[All]" allUniqueName="[services_weekly].[patients_request].[All]" dimensionUniqueName="[services_weekly]" displayFolder="" count="0" memberValueDatatype="20" unbalanced="0"/>
    <cacheHierarchy uniqueName="[services_weekly].[patients_admitted]" caption="patients_admitted" attribute="1" defaultMemberUniqueName="[services_weekly].[patients_admitted].[All]" allUniqueName="[services_weekly].[patients_admitted].[All]" dimensionUniqueName="[services_weekly]" displayFolder="" count="0" memberValueDatatype="20" unbalanced="0"/>
    <cacheHierarchy uniqueName="[services_weekly].[patients_refused]" caption="patients_refused" attribute="1" defaultMemberUniqueName="[services_weekly].[patients_refused].[All]" allUniqueName="[services_weekly].[patients_refused].[All]" dimensionUniqueName="[services_weekly]" displayFolder="" count="0" memberValueDatatype="20" unbalanced="0"/>
    <cacheHierarchy uniqueName="[services_weekly].[patient_satisfaction]" caption="patient_satisfaction" attribute="1" defaultMemberUniqueName="[services_weekly].[patient_satisfaction].[All]" allUniqueName="[services_weekly].[patient_satisfaction].[All]" dimensionUniqueName="[services_weekly]" displayFolder="" count="0" memberValueDatatype="20" unbalanced="0"/>
    <cacheHierarchy uniqueName="[services_weekly].[staff_morale]" caption="staff_morale" attribute="1" defaultMemberUniqueName="[services_weekly].[staff_morale].[All]" allUniqueName="[services_weekly].[staff_morale].[All]" dimensionUniqueName="[services_weekly]" displayFolder="" count="0" memberValueDatatype="20" unbalanced="0"/>
    <cacheHierarchy uniqueName="[services_weekly].[event]" caption="event" attribute="1" defaultMemberUniqueName="[services_weekly].[event].[All]" allUniqueName="[services_weekly].[event].[All]" dimensionUniqueName="[services_weekly]" displayFolder="" count="0" memberValueDatatype="130" unbalanced="0"/>
    <cacheHierarchy uniqueName="[services_weekly].[% of bed occupancy]" caption="% of bed occupancy" attribute="1" defaultMemberUniqueName="[services_weekly].[% of bed occupancy].[All]" allUniqueName="[services_weekly].[% of bed occupancy].[All]" dimensionUniqueName="[services_weekly]" displayFolder="" count="0" memberValueDatatype="5" unbalanced="0"/>
    <cacheHierarchy uniqueName="[staff].[staff_id]" caption="staff_id" attribute="1" defaultMemberUniqueName="[staff].[staff_id].[All]" allUniqueName="[staff].[staff_id].[All]" dimensionUniqueName="[staff]" displayFolder="" count="0" memberValueDatatype="130" unbalanced="0"/>
    <cacheHierarchy uniqueName="[staff].[staff_name]" caption="staff_name" attribute="1" defaultMemberUniqueName="[staff].[staff_name].[All]" allUniqueName="[staff].[staff_name].[All]" dimensionUniqueName="[staff]" displayFolder="" count="0" memberValueDatatype="130" unbalanced="0"/>
    <cacheHierarchy uniqueName="[staff].[role]" caption="role" attribute="1" defaultMemberUniqueName="[staff].[role].[All]" allUniqueName="[staff].[role].[All]" dimensionUniqueName="[staff]" displayFolder="" count="0" memberValueDatatype="130" unbalanced="0"/>
    <cacheHierarchy uniqueName="[staff].[service]" caption="service" attribute="1" defaultMemberUniqueName="[staff].[service].[All]" allUniqueName="[staff].[service].[All]" dimensionUniqueName="[staff]" displayFolder="" count="0" memberValueDatatype="130" unbalanced="0"/>
    <cacheHierarchy uniqueName="[Measures].[__XL_Count staff]" caption="__XL_Count staff" measure="1" displayFolder="" measureGroup="staff" count="0" hidden="1"/>
    <cacheHierarchy uniqueName="[Measures].[__XL_Count patients]" caption="__XL_Count patients" measure="1" displayFolder="" measureGroup="patients" count="0" hidden="1"/>
    <cacheHierarchy uniqueName="[Measures].[__XL_Count services_weekly]" caption="__XL_Count services_weekly" measure="1" displayFolder="" measureGroup="services_weekly" count="0" hidden="1"/>
    <cacheHierarchy uniqueName="[Measures].[__No measures defined]" caption="__No measures defined" measure="1" displayFolder="" count="0" hidden="1"/>
    <cacheHierarchy uniqueName="[Measures].[Count of staff_id]" caption="Count of staff_id" measure="1" displayFolder="" measureGroup="staff"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patients" count="0" hidden="1">
      <extLst>
        <ext xmlns:x15="http://schemas.microsoft.com/office/spreadsheetml/2010/11/main" uri="{B97F6D7D-B522-45F9-BDA1-12C45D357490}">
          <x15:cacheHierarchy aggregatedColumn="2"/>
        </ext>
      </extLst>
    </cacheHierarchy>
    <cacheHierarchy uniqueName="[Measures].[Sum of satisfaction]" caption="Sum of satisfaction" measure="1" displayFolder="" measureGroup="patients" count="0" hidden="1">
      <extLst>
        <ext xmlns:x15="http://schemas.microsoft.com/office/spreadsheetml/2010/11/main" uri="{B97F6D7D-B522-45F9-BDA1-12C45D357490}">
          <x15:cacheHierarchy aggregatedColumn="6"/>
        </ext>
      </extLst>
    </cacheHierarchy>
    <cacheHierarchy uniqueName="[Measures].[Average of satisfaction]" caption="Average of satisfaction" measure="1" displayFolder="" measureGroup="patients" count="0" hidden="1">
      <extLst>
        <ext xmlns:x15="http://schemas.microsoft.com/office/spreadsheetml/2010/11/main" uri="{B97F6D7D-B522-45F9-BDA1-12C45D357490}">
          <x15:cacheHierarchy aggregatedColumn="6"/>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0"/>
        </ext>
      </extLst>
    </cacheHierarchy>
    <cacheHierarchy uniqueName="[Measures].[Count of service]" caption="Count of service" measure="1" displayFolder="" measureGroup="patients"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services_weekly" count="0" hidden="1">
      <extLst>
        <ext xmlns:x15="http://schemas.microsoft.com/office/spreadsheetml/2010/11/main" uri="{B97F6D7D-B522-45F9-BDA1-12C45D357490}">
          <x15:cacheHierarchy aggregatedColumn="14"/>
        </ext>
      </extLst>
    </cacheHierarchy>
    <cacheHierarchy uniqueName="[Measures].[Sum of % of bed occupancy]" caption="Sum of % of bed occupancy" measure="1" displayFolder="" measureGroup="services_weekly" count="0" hidden="1">
      <extLst>
        <ext xmlns:x15="http://schemas.microsoft.com/office/spreadsheetml/2010/11/main" uri="{B97F6D7D-B522-45F9-BDA1-12C45D357490}">
          <x15:cacheHierarchy aggregatedColumn="23"/>
        </ext>
      </extLst>
    </cacheHierarchy>
    <cacheHierarchy uniqueName="[Measures].[Average of % of bed occupancy]" caption="Average of % of bed occupancy" measure="1" displayFolder="" measureGroup="services_weekly"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20974498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3A7FAC-1C31-4A00-A78F-A1EBB5E3B90A}" name="PivotTable8" cacheId="1576" applyNumberFormats="0" applyBorderFormats="0" applyFontFormats="0" applyPatternFormats="0" applyAlignmentFormats="0" applyWidthHeightFormats="1" dataCaption="Values" tag="1bf98176-7d62-49fe-91b9-eedb6573d91c" updatedVersion="8" minRefreshableVersion="3" useAutoFormatting="1" itemPrintTitles="1" createdVersion="8" indent="0" outline="1" outlineData="1" multipleFieldFilters="0" chartFormat="2">
  <location ref="K34:L49" firstHeaderRow="1" firstDataRow="1" firstDataCol="1"/>
  <pivotFields count="3">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llDrilled="1" subtotalTop="0" showAll="0" dataSourceSort="1" defaultSubtotal="0" defaultAttributeDrillState="1"/>
  </pivotFields>
  <rowFields count="1">
    <field x="1"/>
  </rowFields>
  <rowItems count="15">
    <i>
      <x/>
    </i>
    <i>
      <x v="1"/>
    </i>
    <i>
      <x v="2"/>
    </i>
    <i>
      <x v="3"/>
    </i>
    <i>
      <x v="4"/>
    </i>
    <i>
      <x v="5"/>
    </i>
    <i>
      <x v="6"/>
    </i>
    <i>
      <x v="7"/>
    </i>
    <i>
      <x v="8"/>
    </i>
    <i>
      <x v="9"/>
    </i>
    <i>
      <x v="10"/>
    </i>
    <i>
      <x v="11"/>
    </i>
    <i>
      <x v="12"/>
    </i>
    <i>
      <x v="13"/>
    </i>
    <i t="grand">
      <x/>
    </i>
  </rowItems>
  <colItems count="1">
    <i/>
  </colItems>
  <dataFields count="1">
    <dataField name="Average of satisfaction" fld="0" subtotal="average" baseField="0" baseItem="0"/>
  </dataFields>
  <formats count="1">
    <format dxfId="11">
      <pivotArea dataOnly="0" labelOnly="1" fieldPosition="0">
        <references count="1">
          <reference field="1" count="0"/>
        </references>
      </pivotArea>
    </format>
  </formats>
  <chartFormats count="1">
    <chartFormat chart="1" format="1"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1B3525-EBBA-454A-889A-B8DC25AEBF70}" name="PivotTable2" cacheId="1573" applyNumberFormats="0" applyBorderFormats="0" applyFontFormats="0" applyPatternFormats="0" applyAlignmentFormats="0" applyWidthHeightFormats="1" dataCaption="Values" tag="07f532d0-9b94-426d-9384-b866e4cb59ab" updatedVersion="8" minRefreshableVersion="3" useAutoFormatting="1" itemPrintTitles="1" createdVersion="8" indent="0" outline="1" outlineData="1" multipleFieldFilters="0" chartFormat="2">
  <location ref="J23:K2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patient_satisfaction" fld="0" subtotal="average"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atient_satisfaction"/>
    <pivotHierarchy dragToData="1" caption="Average of staff_morale"/>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activeTabTopLevelEntity name="[services_week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328CAA-9904-4703-BE8F-E7355EC7A7DE}" name="service by age" cacheId="1564" applyNumberFormats="0" applyBorderFormats="0" applyFontFormats="0" applyPatternFormats="0" applyAlignmentFormats="0" applyWidthHeightFormats="1" dataCaption="Values" tag="48caf80e-3501-4599-ab85-9f8e70411ca5" updatedVersion="8" minRefreshableVersion="3" useAutoFormatting="1" itemPrintTitles="1" createdVersion="8" indent="0" outline="1" outlineData="1" multipleFieldFilters="0" chartFormat="2">
  <location ref="C15:H21"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Fields count="1">
    <field x="1"/>
  </colFields>
  <colItems count="5">
    <i>
      <x/>
    </i>
    <i>
      <x v="1"/>
    </i>
    <i>
      <x v="2"/>
    </i>
    <i>
      <x v="3"/>
    </i>
    <i t="grand">
      <x/>
    </i>
  </colItems>
  <dataFields count="1">
    <dataField name="Count of patient_id" fld="2" subtotal="count" baseField="0" baseItem="0"/>
  </dataFields>
  <chartFormats count="5">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2"/>
          </reference>
        </references>
      </pivotArea>
    </chartFormat>
    <chartFormat chart="1" format="7" series="1">
      <pivotArea type="data" outline="0" fieldPosition="0">
        <references count="2">
          <reference field="4294967294" count="1" selected="0">
            <x v="0"/>
          </reference>
          <reference field="1" count="1" selected="0">
            <x v="3"/>
          </reference>
        </references>
      </pivotArea>
    </chartFormat>
    <chartFormat chart="1" format="8">
      <pivotArea type="data" outline="0" fieldPosition="0">
        <references count="3">
          <reference field="4294967294" count="1" selected="0">
            <x v="0"/>
          </reference>
          <reference field="0" count="1" selected="0">
            <x v="3"/>
          </reference>
          <reference field="1" count="1" selected="0">
            <x v="3"/>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1A13E2-44D2-47C5-9E87-10B3DBC166D0}" name="patients by service" cacheId="1561" applyNumberFormats="0" applyBorderFormats="0" applyFontFormats="0" applyPatternFormats="0" applyAlignmentFormats="0" applyWidthHeightFormats="1" dataCaption="Values" tag="b0c543aa-6011-45a2-82f8-be6794895413" updatedVersion="8" minRefreshableVersion="3" useAutoFormatting="1" itemPrintTitles="1" createdVersion="8" indent="0" outline="1" outlineData="1" multipleFieldFilters="0" chartFormat="3">
  <location ref="D3:E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atient_id" fld="1" subtotal="count"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D24985-93F1-4119-8499-0546D5748850}" name="PivotTable1" cacheId="1570" applyNumberFormats="0" applyBorderFormats="0" applyFontFormats="0" applyPatternFormats="0" applyAlignmentFormats="0" applyWidthHeightFormats="1" dataCaption="Values" tag="95ffc34c-838e-4fe4-ab25-989bca8fb2ce" updatedVersion="8" minRefreshableVersion="3" useAutoFormatting="1" itemPrintTitles="1" createdVersion="8" indent="0" outline="1" outlineData="1" multipleFieldFilters="0" chartFormat="2">
  <location ref="D25:E3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 of bed occupancy" fld="1" subtotal="average" baseField="0" baseItem="0" numFmtId="10"/>
  </dataFields>
  <chartFormats count="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 of bed occupanc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ervices_weekly]"/>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9F6B49-1629-49B9-A92D-C86A44112234}" name="PivotTable9" cacheId="1567" applyNumberFormats="0" applyBorderFormats="0" applyFontFormats="0" applyPatternFormats="0" applyAlignmentFormats="0" applyWidthHeightFormats="1" dataCaption="Values" tag="3d4cd60d-23f5-4c4b-a89f-fafc4838ec30" updatedVersion="8" minRefreshableVersion="3" useAutoFormatting="1" rowGrandTotals="0" itemPrintTitles="1" createdVersion="8" indent="0" outline="1" outlineData="1" multipleFieldFilters="0" chartFormat="6">
  <location ref="J6:K18"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Count of patient_id" fld="0" subtotal="count" baseField="0" baseItem="0"/>
  </dataFields>
  <chartFormats count="1">
    <chartFormat chart="5" format="1"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EF0F887C-C184-4A5D-B3F5-55206D113FBB}" autoFormatId="16" applyNumberFormats="0" applyBorderFormats="0" applyFontFormats="0" applyPatternFormats="0" applyAlignmentFormats="0" applyWidthHeightFormats="0">
  <queryTableRefresh nextId="9">
    <queryTableFields count="4">
      <queryTableField id="5" name="staff_id" tableColumnId="5"/>
      <queryTableField id="6" name="staff_name" tableColumnId="6"/>
      <queryTableField id="7" name="role" tableColumnId="7"/>
      <queryTableField id="8" name="service"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0C968B2-D331-4BE7-8790-67DB30FE2751}" autoFormatId="16" applyNumberFormats="0" applyBorderFormats="0" applyFontFormats="0" applyPatternFormats="0" applyAlignmentFormats="0" applyWidthHeightFormats="0">
  <queryTableRefresh nextId="12" unboundColumnsRight="1">
    <queryTableFields count="11">
      <queryTableField id="1" name="week" tableColumnId="1"/>
      <queryTableField id="2" name="month" tableColumnId="2"/>
      <queryTableField id="3" name="service" tableColumnId="3"/>
      <queryTableField id="4" name="available_beds" tableColumnId="4"/>
      <queryTableField id="5" name="patients_request" tableColumnId="5"/>
      <queryTableField id="6" name="patients_admitted" tableColumnId="6"/>
      <queryTableField id="7" name="patients_refused" tableColumnId="7"/>
      <queryTableField id="8" name="patient_satisfaction" tableColumnId="8"/>
      <queryTableField id="9" name="staff_morale" tableColumnId="9"/>
      <queryTableField id="10" name="event" tableColumnId="10"/>
      <queryTableField id="11" dataBound="0"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A7B737F5-12CD-4E90-AF64-4FB1E48F710A}" autoFormatId="16" applyNumberFormats="0" applyBorderFormats="0" applyFontFormats="0" applyPatternFormats="0" applyAlignmentFormats="0" applyWidthHeightFormats="0">
  <queryTableRefresh nextId="17" unboundColumnsRight="5">
    <queryTableFields count="12">
      <queryTableField id="1" name="patient_id" tableColumnId="1"/>
      <queryTableField id="2" name="name" tableColumnId="2"/>
      <queryTableField id="3" name="age" tableColumnId="3"/>
      <queryTableField id="4" name="arrival_date" tableColumnId="4"/>
      <queryTableField id="5" name="departure_date" tableColumnId="5"/>
      <queryTableField id="6" name="service" tableColumnId="6"/>
      <queryTableField id="7" name="satisfaction" tableColumnId="7"/>
      <queryTableField id="8" dataBound="0" tableColumnId="8"/>
      <queryTableField id="9" dataBound="0" tableColumnId="9"/>
      <queryTableField id="11" dataBound="0" tableColumnId="11"/>
      <queryTableField id="16" dataBound="0" tableColumnId="15"/>
      <queryTableField id="12"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114C8E2-6B8B-439F-98D8-B05DD9440FA8}" sourceName="[patients].[age_group]">
  <pivotTables>
    <pivotTable tabId="9" name="patients by service"/>
    <pivotTable tabId="9" name="service by age"/>
    <pivotTable tabId="9" name="PivotTable9"/>
    <pivotTable tabId="9" name="PivotTable1"/>
    <pivotTable tabId="9" name="PivotTable2"/>
    <pivotTable tabId="9" name="PivotTable8"/>
  </pivotTables>
  <data>
    <olap pivotCacheId="2097449881">
      <levels count="2">
        <level uniqueName="[patients].[age_group].[(All)]" sourceCaption="(All)" count="0"/>
        <level uniqueName="[patients].[age_group].[age_group]" sourceCaption="age_group" count="4">
          <ranges>
            <range startItem="0">
              <i n="[patients].[age_group].&amp;[0-17]" c="0-17"/>
              <i n="[patients].[age_group].&amp;[18-39]" c="18-39"/>
              <i n="[patients].[age_group].&amp;[40-64]" c="40-64"/>
              <i n="[patients].[age_group].&amp;[65+]" c="65+"/>
            </range>
          </ranges>
        </level>
      </levels>
      <selections count="1">
        <selection n="[patients].[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1CA12964-51B1-4259-8227-3FC789CE4563}" sourceName="[patients].[service]">
  <pivotTables>
    <pivotTable tabId="9" name="patients by service"/>
    <pivotTable tabId="9" name="service by age"/>
    <pivotTable tabId="9" name="PivotTable9"/>
    <pivotTable tabId="9" name="PivotTable1"/>
    <pivotTable tabId="9" name="PivotTable2"/>
    <pivotTable tabId="9" name="PivotTable8"/>
  </pivotTables>
  <data>
    <olap pivotCacheId="2097449881">
      <levels count="2">
        <level uniqueName="[patients].[service].[(All)]" sourceCaption="(All)" count="0"/>
        <level uniqueName="[patients].[service].[service]" sourceCaption="service" count="4">
          <ranges>
            <range startItem="0">
              <i n="[patients].[service].&amp;[emergency]" c="emergency"/>
              <i n="[patients].[service].&amp;[general_medicine]" c="general_medicine"/>
              <i n="[patients].[service].&amp;[ICU]" c="ICU"/>
              <i n="[patients].[service].&amp;[surgery]" c="surgery"/>
            </range>
          </ranges>
        </level>
      </levels>
      <selections count="1">
        <selection n="[patients].[servi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7" xr10:uid="{1E1F3EB6-1D9B-4F44-B1EE-5660A1D52800}" cache="Slicer_age_group" caption="Age" level="1" style="SlicerStyleLight2" rowHeight="540000"/>
  <slicer name="service 8" xr10:uid="{E123AF72-02C7-49E1-9665-83EAB1E85816}" cache="Slicer_service" caption="Service" level="1" style="SlicerStyleLight2" rowHeight="54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6" xr10:uid="{63B3CE90-9314-49C8-9AD6-D210AA95FD78}" cache="Slicer_age_group" caption="Age" level="1" style="SlicerStyleLight2" rowHeight="540000"/>
  <slicer name="service 7" xr10:uid="{C1AC96C7-AD47-491D-A72C-A07FA834B187}" cache="Slicer_service" caption="Service" level="1" style="SlicerStyleLight2" rowHeight="54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5" xr10:uid="{A81CB9FF-FB36-4396-B91A-B9882273501D}" cache="Slicer_age_group" caption="Age" level="1" style="SlicerStyleLight2" rowHeight="540000"/>
  <slicer name="service 6" xr10:uid="{21D04AD8-1B4D-4769-887D-9936529AD254}" cache="Slicer_service" caption="Service" level="1" style="SlicerStyleLight2" rowHeight="54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4" xr10:uid="{0B2EC100-25B6-4C50-A336-69AF42D896C6}" cache="Slicer_age_group" caption="Age" level="1" style="SlicerStyleLight2" rowHeight="540000"/>
  <slicer name="service 5" xr10:uid="{708343DC-38EA-462F-9575-CE089DF0ED0C}" cache="Slicer_service" caption="Service" level="1" style="SlicerStyleLight2" rowHeight="540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3" xr10:uid="{2986A22C-C65D-4B8B-B38A-955C255ABBD8}" cache="Slicer_age_group" caption="Age" level="1" style="SlicerStyleLight2" rowHeight="540000"/>
  <slicer name="service 4" xr10:uid="{E54ABA7B-F344-4A28-A9BF-2138EEA65ACA}" cache="Slicer_service" caption="Service" level="1" style="SlicerStyleLight2" rowHeight="540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2" xr10:uid="{E37D246A-D5DE-473A-83FC-5B68CC005706}" cache="Slicer_age_group" caption="Age" level="1" style="SlicerStyleLight2" rowHeight="540000"/>
  <slicer name="service 3" xr10:uid="{619B9054-3C09-4E18-9E40-3EE14BEFA251}" cache="Slicer_service" caption="Service" level="1" style="SlicerStyleLight2"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B245A6-0E7C-4875-9350-F788D3B470FD}" name="staff" displayName="staff" ref="B1:E111" tableType="queryTable" totalsRowShown="0">
  <autoFilter ref="B1:E111" xr:uid="{B7B245A6-0E7C-4875-9350-F788D3B470FD}"/>
  <tableColumns count="4">
    <tableColumn id="5" xr3:uid="{8956527E-D996-46E9-91F3-536E58B9217D}" uniqueName="5" name="staff_id" queryTableFieldId="5" dataDxfId="28"/>
    <tableColumn id="6" xr3:uid="{8B7D1DC4-62EB-49CE-92E9-12CF8E7D8FA5}" uniqueName="6" name="staff_name" queryTableFieldId="6" dataDxfId="27"/>
    <tableColumn id="7" xr3:uid="{E4E28AFF-26A6-44E9-982E-C47E42A908BE}" uniqueName="7" name="role" queryTableFieldId="7" dataDxfId="26"/>
    <tableColumn id="8" xr3:uid="{E73E90B5-53C9-498C-9402-87A8C6D401B1}" uniqueName="8" name="service" queryTableFieldId="8"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87B765-E335-49FB-8A49-DF6690067B0B}" name="services_weekly" displayName="services_weekly" ref="B1:L209" tableType="queryTable" totalsRowShown="0">
  <autoFilter ref="B1:L209" xr:uid="{EA87B765-E335-49FB-8A49-DF6690067B0B}"/>
  <tableColumns count="11">
    <tableColumn id="1" xr3:uid="{93B5739E-F0EF-47B8-993D-0C00DB2D672C}" uniqueName="1" name="week" queryTableFieldId="1"/>
    <tableColumn id="2" xr3:uid="{05D8336D-A553-4D25-A957-3441AD0D1DF9}" uniqueName="2" name="month" queryTableFieldId="2"/>
    <tableColumn id="3" xr3:uid="{529B3E93-863D-4DF3-8074-A36EC486FB6F}" uniqueName="3" name="service" queryTableFieldId="3" dataDxfId="24"/>
    <tableColumn id="4" xr3:uid="{129D3224-746E-42BF-95B4-763EE0BCACE3}" uniqueName="4" name="available_beds" queryTableFieldId="4"/>
    <tableColumn id="5" xr3:uid="{DEB8BAEA-6CF1-4359-8AD9-19F680AAD611}" uniqueName="5" name="patients_request" queryTableFieldId="5"/>
    <tableColumn id="6" xr3:uid="{111614F0-1715-4F59-B7EA-6400766DE66F}" uniqueName="6" name="patients_admitted" queryTableFieldId="6"/>
    <tableColumn id="7" xr3:uid="{002B3E39-13A8-496E-BFAF-42300410804B}" uniqueName="7" name="patients_refused" queryTableFieldId="7"/>
    <tableColumn id="8" xr3:uid="{29348D38-D031-4E69-8E35-BA2BDBE0ACAE}" uniqueName="8" name="patient_satisfaction" queryTableFieldId="8"/>
    <tableColumn id="9" xr3:uid="{64FAB555-7F45-45CF-B16A-6D393E3C7B8B}" uniqueName="9" name="staff_morale" queryTableFieldId="9"/>
    <tableColumn id="10" xr3:uid="{73A0CEF7-593F-4542-9A4E-5A75A096D166}" uniqueName="10" name="event" queryTableFieldId="10" dataDxfId="23"/>
    <tableColumn id="11" xr3:uid="{392BD597-98DB-490F-AA28-EEBCFB798145}" uniqueName="11" name="% of bed occupancy" queryTableFieldId="11" dataDxfId="22">
      <calculatedColumnFormula>services_weekly[[#This Row],[patients_admitted]]/services_weekly[[#This Row],[available_beds]]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B14FBC-EBCD-4241-98EE-99F360DC775D}" name="patients" displayName="patients" ref="B1:M1001" tableType="queryTable" totalsRowShown="0">
  <autoFilter ref="B1:M1001" xr:uid="{F6B14FBC-EBCD-4241-98EE-99F360DC775D}"/>
  <tableColumns count="12">
    <tableColumn id="1" xr3:uid="{A0EA9E82-29A1-426C-A5BD-A4BF8AB80A1F}" uniqueName="1" name="patient_id" queryTableFieldId="1" dataDxfId="21"/>
    <tableColumn id="2" xr3:uid="{AAD17D00-FB83-4E53-8CAE-246C53B77099}" uniqueName="2" name="name" queryTableFieldId="2" dataDxfId="20"/>
    <tableColumn id="3" xr3:uid="{00E11035-65BE-4817-91B0-F5B4BABA4040}" uniqueName="3" name="age" queryTableFieldId="3"/>
    <tableColumn id="4" xr3:uid="{56BCC80F-AB48-4C98-85D4-D03A192652F9}" uniqueName="4" name="arrival_date" queryTableFieldId="4" dataDxfId="19"/>
    <tableColumn id="5" xr3:uid="{41A6CBE4-3CFB-4A1B-B8A2-046B624CFECA}" uniqueName="5" name="departure_date" queryTableFieldId="5" dataDxfId="18"/>
    <tableColumn id="6" xr3:uid="{A34C2189-A3B5-44A0-9369-09953D1F34AD}" uniqueName="6" name="service" queryTableFieldId="6" dataDxfId="17"/>
    <tableColumn id="7" xr3:uid="{06EA98B9-31E4-432C-9F90-B9DAE516A6E8}" uniqueName="7" name="satisfaction" queryTableFieldId="7"/>
    <tableColumn id="8" xr3:uid="{CF44D262-213E-4DE3-96B8-D0611FFD1385}" uniqueName="8" name="length_of_stay" queryTableFieldId="8" dataDxfId="12">
      <calculatedColumnFormula>patients[[#This Row],[departure_date]]-patients[[#This Row],[arrival_date]]</calculatedColumnFormula>
    </tableColumn>
    <tableColumn id="9" xr3:uid="{AEAEB5C8-B220-4BFB-AC4E-29646F7F0390}" uniqueName="9" name="age_group" queryTableFieldId="9" dataDxfId="16">
      <calculatedColumnFormula>IF(patients[[#This Row],[age]] &lt; 18,"0-17",IF(patients[[#This Row],[age]] &lt; 40,"18-39",IF(patients[[#This Row],[age]] &lt; 65,"40-64","65+")))</calculatedColumnFormula>
    </tableColumn>
    <tableColumn id="11" xr3:uid="{5AAA12DE-CC2E-4A0D-A963-8B3754695161}" uniqueName="11" name="month_name (when arrived)" queryTableFieldId="11" dataDxfId="15">
      <calculatedColumnFormula>TEXT(patients[[#This Row],[arrival_date]],"[$-409]mmmm")</calculatedColumnFormula>
    </tableColumn>
    <tableColumn id="15" xr3:uid="{8609BD72-E18F-4D45-86EC-B5E96CD66DF5}" uniqueName="15" name="month_number" queryTableFieldId="16" dataDxfId="13">
      <calculatedColumnFormula>MATCH(K2, {"January";"February";"March";"April";"May";"June";"July";"August";"September";"October";"November";"December"}, 0)</calculatedColumnFormula>
    </tableColumn>
    <tableColumn id="10" xr3:uid="{A4D12CFA-13C5-4EEF-A460-4EDE75E88882}" uniqueName="10" name="over_average_stay_or_not" queryTableFieldId="12"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microsoft.com/office/2007/relationships/slicer" Target="../slicers/slicer4.xml"/><Relationship Id="rId3" Type="http://schemas.openxmlformats.org/officeDocument/2006/relationships/pivotTable" Target="../pivotTables/pivotTable3.xml"/><Relationship Id="rId7"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EF06F-C5BD-42C7-9D63-048F6C6623D3}">
  <dimension ref="A1:E111"/>
  <sheetViews>
    <sheetView workbookViewId="0">
      <selection activeCell="I17" sqref="I17"/>
    </sheetView>
  </sheetViews>
  <sheetFormatPr defaultRowHeight="15" x14ac:dyDescent="0.25"/>
  <cols>
    <col min="1" max="1" width="24.5703125" style="10" customWidth="1"/>
    <col min="2" max="2" width="13.42578125" bestFit="1" customWidth="1"/>
    <col min="3" max="3" width="21.140625" bestFit="1" customWidth="1"/>
    <col min="4" max="4" width="16.85546875" bestFit="1" customWidth="1"/>
    <col min="5" max="5" width="16.7109375" bestFit="1" customWidth="1"/>
    <col min="6" max="6" width="16.140625" bestFit="1" customWidth="1"/>
    <col min="7" max="7" width="7" bestFit="1" customWidth="1"/>
    <col min="8" max="8" width="16.7109375" bestFit="1" customWidth="1"/>
  </cols>
  <sheetData>
    <row r="1" spans="2:5" x14ac:dyDescent="0.25">
      <c r="B1" t="s">
        <v>2017</v>
      </c>
      <c r="C1" t="s">
        <v>2018</v>
      </c>
      <c r="D1" t="s">
        <v>2019</v>
      </c>
      <c r="E1" t="s">
        <v>5</v>
      </c>
    </row>
    <row r="2" spans="2:5" x14ac:dyDescent="0.25">
      <c r="B2" s="1" t="s">
        <v>2020</v>
      </c>
      <c r="C2" s="1" t="s">
        <v>2021</v>
      </c>
      <c r="D2" s="1" t="s">
        <v>2022</v>
      </c>
      <c r="E2" s="1" t="s">
        <v>17</v>
      </c>
    </row>
    <row r="3" spans="2:5" x14ac:dyDescent="0.25">
      <c r="B3" s="1" t="s">
        <v>2023</v>
      </c>
      <c r="C3" s="1" t="s">
        <v>2024</v>
      </c>
      <c r="D3" s="1" t="s">
        <v>2022</v>
      </c>
      <c r="E3" s="1" t="s">
        <v>17</v>
      </c>
    </row>
    <row r="4" spans="2:5" x14ac:dyDescent="0.25">
      <c r="B4" s="1" t="s">
        <v>2025</v>
      </c>
      <c r="C4" s="1" t="s">
        <v>2026</v>
      </c>
      <c r="D4" s="1" t="s">
        <v>2022</v>
      </c>
      <c r="E4" s="1" t="s">
        <v>17</v>
      </c>
    </row>
    <row r="5" spans="2:5" x14ac:dyDescent="0.25">
      <c r="B5" s="1" t="s">
        <v>2027</v>
      </c>
      <c r="C5" s="1" t="s">
        <v>2028</v>
      </c>
      <c r="D5" s="1" t="s">
        <v>2022</v>
      </c>
      <c r="E5" s="1" t="s">
        <v>17</v>
      </c>
    </row>
    <row r="6" spans="2:5" x14ac:dyDescent="0.25">
      <c r="B6" s="1" t="s">
        <v>2029</v>
      </c>
      <c r="C6" s="1" t="s">
        <v>2030</v>
      </c>
      <c r="D6" s="1" t="s">
        <v>2022</v>
      </c>
      <c r="E6" s="1" t="s">
        <v>17</v>
      </c>
    </row>
    <row r="7" spans="2:5" x14ac:dyDescent="0.25">
      <c r="B7" s="1" t="s">
        <v>2031</v>
      </c>
      <c r="C7" s="1" t="s">
        <v>2032</v>
      </c>
      <c r="D7" s="1" t="s">
        <v>2033</v>
      </c>
      <c r="E7" s="1" t="s">
        <v>17</v>
      </c>
    </row>
    <row r="8" spans="2:5" x14ac:dyDescent="0.25">
      <c r="B8" s="1" t="s">
        <v>2034</v>
      </c>
      <c r="C8" s="1" t="s">
        <v>2035</v>
      </c>
      <c r="D8" s="1" t="s">
        <v>2033</v>
      </c>
      <c r="E8" s="1" t="s">
        <v>17</v>
      </c>
    </row>
    <row r="9" spans="2:5" x14ac:dyDescent="0.25">
      <c r="B9" s="1" t="s">
        <v>2036</v>
      </c>
      <c r="C9" s="1" t="s">
        <v>2037</v>
      </c>
      <c r="D9" s="1" t="s">
        <v>2033</v>
      </c>
      <c r="E9" s="1" t="s">
        <v>17</v>
      </c>
    </row>
    <row r="10" spans="2:5" x14ac:dyDescent="0.25">
      <c r="B10" s="1" t="s">
        <v>2038</v>
      </c>
      <c r="C10" s="1" t="s">
        <v>2039</v>
      </c>
      <c r="D10" s="1" t="s">
        <v>2033</v>
      </c>
      <c r="E10" s="1" t="s">
        <v>17</v>
      </c>
    </row>
    <row r="11" spans="2:5" x14ac:dyDescent="0.25">
      <c r="B11" s="1" t="s">
        <v>2040</v>
      </c>
      <c r="C11" s="1" t="s">
        <v>2041</v>
      </c>
      <c r="D11" s="1" t="s">
        <v>2033</v>
      </c>
      <c r="E11" s="1" t="s">
        <v>17</v>
      </c>
    </row>
    <row r="12" spans="2:5" x14ac:dyDescent="0.25">
      <c r="B12" s="1" t="s">
        <v>2042</v>
      </c>
      <c r="C12" s="1" t="s">
        <v>2043</v>
      </c>
      <c r="D12" s="1" t="s">
        <v>2033</v>
      </c>
      <c r="E12" s="1" t="s">
        <v>17</v>
      </c>
    </row>
    <row r="13" spans="2:5" x14ac:dyDescent="0.25">
      <c r="B13" s="1" t="s">
        <v>2044</v>
      </c>
      <c r="C13" s="1" t="s">
        <v>2045</v>
      </c>
      <c r="D13" s="1" t="s">
        <v>2033</v>
      </c>
      <c r="E13" s="1" t="s">
        <v>17</v>
      </c>
    </row>
    <row r="14" spans="2:5" x14ac:dyDescent="0.25">
      <c r="B14" s="1" t="s">
        <v>2046</v>
      </c>
      <c r="C14" s="1" t="s">
        <v>2047</v>
      </c>
      <c r="D14" s="1" t="s">
        <v>2033</v>
      </c>
      <c r="E14" s="1" t="s">
        <v>17</v>
      </c>
    </row>
    <row r="15" spans="2:5" x14ac:dyDescent="0.25">
      <c r="B15" s="1" t="s">
        <v>2048</v>
      </c>
      <c r="C15" s="1" t="s">
        <v>2049</v>
      </c>
      <c r="D15" s="1" t="s">
        <v>2033</v>
      </c>
      <c r="E15" s="1" t="s">
        <v>17</v>
      </c>
    </row>
    <row r="16" spans="2:5" x14ac:dyDescent="0.25">
      <c r="B16" s="1" t="s">
        <v>2050</v>
      </c>
      <c r="C16" s="1" t="s">
        <v>2051</v>
      </c>
      <c r="D16" s="1" t="s">
        <v>2033</v>
      </c>
      <c r="E16" s="1" t="s">
        <v>17</v>
      </c>
    </row>
    <row r="17" spans="2:5" x14ac:dyDescent="0.25">
      <c r="B17" s="1" t="s">
        <v>2052</v>
      </c>
      <c r="C17" s="1" t="s">
        <v>2053</v>
      </c>
      <c r="D17" s="1" t="s">
        <v>2033</v>
      </c>
      <c r="E17" s="1" t="s">
        <v>17</v>
      </c>
    </row>
    <row r="18" spans="2:5" x14ac:dyDescent="0.25">
      <c r="B18" s="1" t="s">
        <v>2054</v>
      </c>
      <c r="C18" s="1" t="s">
        <v>2055</v>
      </c>
      <c r="D18" s="1" t="s">
        <v>2033</v>
      </c>
      <c r="E18" s="1" t="s">
        <v>17</v>
      </c>
    </row>
    <row r="19" spans="2:5" x14ac:dyDescent="0.25">
      <c r="B19" s="1" t="s">
        <v>2056</v>
      </c>
      <c r="C19" s="1" t="s">
        <v>2057</v>
      </c>
      <c r="D19" s="1" t="s">
        <v>2033</v>
      </c>
      <c r="E19" s="1" t="s">
        <v>17</v>
      </c>
    </row>
    <row r="20" spans="2:5" x14ac:dyDescent="0.25">
      <c r="B20" s="1" t="s">
        <v>2058</v>
      </c>
      <c r="C20" s="1" t="s">
        <v>2059</v>
      </c>
      <c r="D20" s="1" t="s">
        <v>2033</v>
      </c>
      <c r="E20" s="1" t="s">
        <v>17</v>
      </c>
    </row>
    <row r="21" spans="2:5" x14ac:dyDescent="0.25">
      <c r="B21" s="1" t="s">
        <v>2060</v>
      </c>
      <c r="C21" s="1" t="s">
        <v>2061</v>
      </c>
      <c r="D21" s="1" t="s">
        <v>2033</v>
      </c>
      <c r="E21" s="1" t="s">
        <v>17</v>
      </c>
    </row>
    <row r="22" spans="2:5" x14ac:dyDescent="0.25">
      <c r="B22" s="1" t="s">
        <v>2062</v>
      </c>
      <c r="C22" s="1" t="s">
        <v>2063</v>
      </c>
      <c r="D22" s="1" t="s">
        <v>2033</v>
      </c>
      <c r="E22" s="1" t="s">
        <v>17</v>
      </c>
    </row>
    <row r="23" spans="2:5" x14ac:dyDescent="0.25">
      <c r="B23" s="1" t="s">
        <v>2064</v>
      </c>
      <c r="C23" s="1" t="s">
        <v>2065</v>
      </c>
      <c r="D23" s="1" t="s">
        <v>2033</v>
      </c>
      <c r="E23" s="1" t="s">
        <v>17</v>
      </c>
    </row>
    <row r="24" spans="2:5" x14ac:dyDescent="0.25">
      <c r="B24" s="1" t="s">
        <v>2066</v>
      </c>
      <c r="C24" s="1" t="s">
        <v>2067</v>
      </c>
      <c r="D24" s="1" t="s">
        <v>2033</v>
      </c>
      <c r="E24" s="1" t="s">
        <v>17</v>
      </c>
    </row>
    <row r="25" spans="2:5" x14ac:dyDescent="0.25">
      <c r="B25" s="1" t="s">
        <v>2068</v>
      </c>
      <c r="C25" s="1" t="s">
        <v>2069</v>
      </c>
      <c r="D25" s="1" t="s">
        <v>2033</v>
      </c>
      <c r="E25" s="1" t="s">
        <v>17</v>
      </c>
    </row>
    <row r="26" spans="2:5" x14ac:dyDescent="0.25">
      <c r="B26" s="1" t="s">
        <v>2070</v>
      </c>
      <c r="C26" s="1" t="s">
        <v>2071</v>
      </c>
      <c r="D26" s="1" t="s">
        <v>2072</v>
      </c>
      <c r="E26" s="1" t="s">
        <v>17</v>
      </c>
    </row>
    <row r="27" spans="2:5" x14ac:dyDescent="0.25">
      <c r="B27" s="1" t="s">
        <v>2073</v>
      </c>
      <c r="C27" s="1" t="s">
        <v>2074</v>
      </c>
      <c r="D27" s="1" t="s">
        <v>2072</v>
      </c>
      <c r="E27" s="1" t="s">
        <v>17</v>
      </c>
    </row>
    <row r="28" spans="2:5" x14ac:dyDescent="0.25">
      <c r="B28" s="1" t="s">
        <v>2075</v>
      </c>
      <c r="C28" s="1" t="s">
        <v>2076</v>
      </c>
      <c r="D28" s="1" t="s">
        <v>2072</v>
      </c>
      <c r="E28" s="1" t="s">
        <v>17</v>
      </c>
    </row>
    <row r="29" spans="2:5" x14ac:dyDescent="0.25">
      <c r="B29" s="1" t="s">
        <v>2077</v>
      </c>
      <c r="C29" s="1" t="s">
        <v>2078</v>
      </c>
      <c r="D29" s="1" t="s">
        <v>2072</v>
      </c>
      <c r="E29" s="1" t="s">
        <v>17</v>
      </c>
    </row>
    <row r="30" spans="2:5" x14ac:dyDescent="0.25">
      <c r="B30" s="1" t="s">
        <v>2079</v>
      </c>
      <c r="C30" s="1" t="s">
        <v>2080</v>
      </c>
      <c r="D30" s="1" t="s">
        <v>2072</v>
      </c>
      <c r="E30" s="1" t="s">
        <v>17</v>
      </c>
    </row>
    <row r="31" spans="2:5" x14ac:dyDescent="0.25">
      <c r="B31" s="1" t="s">
        <v>2081</v>
      </c>
      <c r="C31" s="1" t="s">
        <v>2082</v>
      </c>
      <c r="D31" s="1" t="s">
        <v>2022</v>
      </c>
      <c r="E31" s="1" t="s">
        <v>9</v>
      </c>
    </row>
    <row r="32" spans="2:5" x14ac:dyDescent="0.25">
      <c r="B32" s="1" t="s">
        <v>2083</v>
      </c>
      <c r="C32" s="1" t="s">
        <v>2084</v>
      </c>
      <c r="D32" s="1" t="s">
        <v>2022</v>
      </c>
      <c r="E32" s="1" t="s">
        <v>9</v>
      </c>
    </row>
    <row r="33" spans="2:5" x14ac:dyDescent="0.25">
      <c r="B33" s="1" t="s">
        <v>2085</v>
      </c>
      <c r="C33" s="1" t="s">
        <v>2086</v>
      </c>
      <c r="D33" s="1" t="s">
        <v>2022</v>
      </c>
      <c r="E33" s="1" t="s">
        <v>9</v>
      </c>
    </row>
    <row r="34" spans="2:5" x14ac:dyDescent="0.25">
      <c r="B34" s="1" t="s">
        <v>2087</v>
      </c>
      <c r="C34" s="1" t="s">
        <v>2088</v>
      </c>
      <c r="D34" s="1" t="s">
        <v>2022</v>
      </c>
      <c r="E34" s="1" t="s">
        <v>9</v>
      </c>
    </row>
    <row r="35" spans="2:5" x14ac:dyDescent="0.25">
      <c r="B35" s="1" t="s">
        <v>2089</v>
      </c>
      <c r="C35" s="1" t="s">
        <v>2090</v>
      </c>
      <c r="D35" s="1" t="s">
        <v>2033</v>
      </c>
      <c r="E35" s="1" t="s">
        <v>9</v>
      </c>
    </row>
    <row r="36" spans="2:5" x14ac:dyDescent="0.25">
      <c r="B36" s="1" t="s">
        <v>2091</v>
      </c>
      <c r="C36" s="1" t="s">
        <v>2092</v>
      </c>
      <c r="D36" s="1" t="s">
        <v>2033</v>
      </c>
      <c r="E36" s="1" t="s">
        <v>9</v>
      </c>
    </row>
    <row r="37" spans="2:5" x14ac:dyDescent="0.25">
      <c r="B37" s="1" t="s">
        <v>2093</v>
      </c>
      <c r="C37" s="1" t="s">
        <v>2094</v>
      </c>
      <c r="D37" s="1" t="s">
        <v>2033</v>
      </c>
      <c r="E37" s="1" t="s">
        <v>9</v>
      </c>
    </row>
    <row r="38" spans="2:5" x14ac:dyDescent="0.25">
      <c r="B38" s="1" t="s">
        <v>2095</v>
      </c>
      <c r="C38" s="1" t="s">
        <v>2096</v>
      </c>
      <c r="D38" s="1" t="s">
        <v>2033</v>
      </c>
      <c r="E38" s="1" t="s">
        <v>9</v>
      </c>
    </row>
    <row r="39" spans="2:5" x14ac:dyDescent="0.25">
      <c r="B39" s="1" t="s">
        <v>2097</v>
      </c>
      <c r="C39" s="1" t="s">
        <v>2098</v>
      </c>
      <c r="D39" s="1" t="s">
        <v>2033</v>
      </c>
      <c r="E39" s="1" t="s">
        <v>9</v>
      </c>
    </row>
    <row r="40" spans="2:5" x14ac:dyDescent="0.25">
      <c r="B40" s="1" t="s">
        <v>2099</v>
      </c>
      <c r="C40" s="1" t="s">
        <v>2100</v>
      </c>
      <c r="D40" s="1" t="s">
        <v>2033</v>
      </c>
      <c r="E40" s="1" t="s">
        <v>9</v>
      </c>
    </row>
    <row r="41" spans="2:5" x14ac:dyDescent="0.25">
      <c r="B41" s="1" t="s">
        <v>2101</v>
      </c>
      <c r="C41" s="1" t="s">
        <v>2102</v>
      </c>
      <c r="D41" s="1" t="s">
        <v>2033</v>
      </c>
      <c r="E41" s="1" t="s">
        <v>9</v>
      </c>
    </row>
    <row r="42" spans="2:5" x14ac:dyDescent="0.25">
      <c r="B42" s="1" t="s">
        <v>2103</v>
      </c>
      <c r="C42" s="1" t="s">
        <v>2104</v>
      </c>
      <c r="D42" s="1" t="s">
        <v>2033</v>
      </c>
      <c r="E42" s="1" t="s">
        <v>9</v>
      </c>
    </row>
    <row r="43" spans="2:5" x14ac:dyDescent="0.25">
      <c r="B43" s="1" t="s">
        <v>2105</v>
      </c>
      <c r="C43" s="1" t="s">
        <v>2106</v>
      </c>
      <c r="D43" s="1" t="s">
        <v>2033</v>
      </c>
      <c r="E43" s="1" t="s">
        <v>9</v>
      </c>
    </row>
    <row r="44" spans="2:5" x14ac:dyDescent="0.25">
      <c r="B44" s="1" t="s">
        <v>2107</v>
      </c>
      <c r="C44" s="1" t="s">
        <v>2108</v>
      </c>
      <c r="D44" s="1" t="s">
        <v>2033</v>
      </c>
      <c r="E44" s="1" t="s">
        <v>9</v>
      </c>
    </row>
    <row r="45" spans="2:5" x14ac:dyDescent="0.25">
      <c r="B45" s="1" t="s">
        <v>2109</v>
      </c>
      <c r="C45" s="1" t="s">
        <v>2110</v>
      </c>
      <c r="D45" s="1" t="s">
        <v>2033</v>
      </c>
      <c r="E45" s="1" t="s">
        <v>9</v>
      </c>
    </row>
    <row r="46" spans="2:5" x14ac:dyDescent="0.25">
      <c r="B46" s="1" t="s">
        <v>2111</v>
      </c>
      <c r="C46" s="1" t="s">
        <v>2112</v>
      </c>
      <c r="D46" s="1" t="s">
        <v>2033</v>
      </c>
      <c r="E46" s="1" t="s">
        <v>9</v>
      </c>
    </row>
    <row r="47" spans="2:5" x14ac:dyDescent="0.25">
      <c r="B47" s="1" t="s">
        <v>2113</v>
      </c>
      <c r="C47" s="1" t="s">
        <v>2114</v>
      </c>
      <c r="D47" s="1" t="s">
        <v>2033</v>
      </c>
      <c r="E47" s="1" t="s">
        <v>9</v>
      </c>
    </row>
    <row r="48" spans="2:5" x14ac:dyDescent="0.25">
      <c r="B48" s="1" t="s">
        <v>2115</v>
      </c>
      <c r="C48" s="1" t="s">
        <v>2116</v>
      </c>
      <c r="D48" s="1" t="s">
        <v>2072</v>
      </c>
      <c r="E48" s="1" t="s">
        <v>9</v>
      </c>
    </row>
    <row r="49" spans="2:5" x14ac:dyDescent="0.25">
      <c r="B49" s="1" t="s">
        <v>2117</v>
      </c>
      <c r="C49" s="1" t="s">
        <v>2118</v>
      </c>
      <c r="D49" s="1" t="s">
        <v>2072</v>
      </c>
      <c r="E49" s="1" t="s">
        <v>9</v>
      </c>
    </row>
    <row r="50" spans="2:5" x14ac:dyDescent="0.25">
      <c r="B50" s="1" t="s">
        <v>2119</v>
      </c>
      <c r="C50" s="1" t="s">
        <v>2120</v>
      </c>
      <c r="D50" s="1" t="s">
        <v>2072</v>
      </c>
      <c r="E50" s="1" t="s">
        <v>9</v>
      </c>
    </row>
    <row r="51" spans="2:5" x14ac:dyDescent="0.25">
      <c r="B51" s="1" t="s">
        <v>2121</v>
      </c>
      <c r="C51" s="1" t="s">
        <v>2122</v>
      </c>
      <c r="D51" s="1" t="s">
        <v>2072</v>
      </c>
      <c r="E51" s="1" t="s">
        <v>9</v>
      </c>
    </row>
    <row r="52" spans="2:5" x14ac:dyDescent="0.25">
      <c r="B52" s="1" t="s">
        <v>2123</v>
      </c>
      <c r="C52" s="1" t="s">
        <v>2124</v>
      </c>
      <c r="D52" s="1" t="s">
        <v>2072</v>
      </c>
      <c r="E52" s="1" t="s">
        <v>9</v>
      </c>
    </row>
    <row r="53" spans="2:5" x14ac:dyDescent="0.25">
      <c r="B53" s="1" t="s">
        <v>2125</v>
      </c>
      <c r="C53" s="1" t="s">
        <v>2126</v>
      </c>
      <c r="D53" s="1" t="s">
        <v>2022</v>
      </c>
      <c r="E53" s="1" t="s">
        <v>14</v>
      </c>
    </row>
    <row r="54" spans="2:5" x14ac:dyDescent="0.25">
      <c r="B54" s="1" t="s">
        <v>2127</v>
      </c>
      <c r="C54" s="1" t="s">
        <v>2128</v>
      </c>
      <c r="D54" s="1" t="s">
        <v>2022</v>
      </c>
      <c r="E54" s="1" t="s">
        <v>14</v>
      </c>
    </row>
    <row r="55" spans="2:5" x14ac:dyDescent="0.25">
      <c r="B55" s="1" t="s">
        <v>2129</v>
      </c>
      <c r="C55" s="1" t="s">
        <v>2130</v>
      </c>
      <c r="D55" s="1" t="s">
        <v>2022</v>
      </c>
      <c r="E55" s="1" t="s">
        <v>14</v>
      </c>
    </row>
    <row r="56" spans="2:5" x14ac:dyDescent="0.25">
      <c r="B56" s="1" t="s">
        <v>2131</v>
      </c>
      <c r="C56" s="1" t="s">
        <v>2132</v>
      </c>
      <c r="D56" s="1" t="s">
        <v>2033</v>
      </c>
      <c r="E56" s="1" t="s">
        <v>14</v>
      </c>
    </row>
    <row r="57" spans="2:5" x14ac:dyDescent="0.25">
      <c r="B57" s="1" t="s">
        <v>2133</v>
      </c>
      <c r="C57" s="1" t="s">
        <v>2134</v>
      </c>
      <c r="D57" s="1" t="s">
        <v>2033</v>
      </c>
      <c r="E57" s="1" t="s">
        <v>14</v>
      </c>
    </row>
    <row r="58" spans="2:5" x14ac:dyDescent="0.25">
      <c r="B58" s="1" t="s">
        <v>2135</v>
      </c>
      <c r="C58" s="1" t="s">
        <v>2136</v>
      </c>
      <c r="D58" s="1" t="s">
        <v>2033</v>
      </c>
      <c r="E58" s="1" t="s">
        <v>14</v>
      </c>
    </row>
    <row r="59" spans="2:5" x14ac:dyDescent="0.25">
      <c r="B59" s="1" t="s">
        <v>2137</v>
      </c>
      <c r="C59" s="1" t="s">
        <v>2138</v>
      </c>
      <c r="D59" s="1" t="s">
        <v>2033</v>
      </c>
      <c r="E59" s="1" t="s">
        <v>14</v>
      </c>
    </row>
    <row r="60" spans="2:5" x14ac:dyDescent="0.25">
      <c r="B60" s="1" t="s">
        <v>2139</v>
      </c>
      <c r="C60" s="1" t="s">
        <v>2140</v>
      </c>
      <c r="D60" s="1" t="s">
        <v>2033</v>
      </c>
      <c r="E60" s="1" t="s">
        <v>14</v>
      </c>
    </row>
    <row r="61" spans="2:5" x14ac:dyDescent="0.25">
      <c r="B61" s="1" t="s">
        <v>2141</v>
      </c>
      <c r="C61" s="1" t="s">
        <v>2142</v>
      </c>
      <c r="D61" s="1" t="s">
        <v>2033</v>
      </c>
      <c r="E61" s="1" t="s">
        <v>14</v>
      </c>
    </row>
    <row r="62" spans="2:5" x14ac:dyDescent="0.25">
      <c r="B62" s="1" t="s">
        <v>2143</v>
      </c>
      <c r="C62" s="1" t="s">
        <v>2144</v>
      </c>
      <c r="D62" s="1" t="s">
        <v>2033</v>
      </c>
      <c r="E62" s="1" t="s">
        <v>14</v>
      </c>
    </row>
    <row r="63" spans="2:5" x14ac:dyDescent="0.25">
      <c r="B63" s="1" t="s">
        <v>2145</v>
      </c>
      <c r="C63" s="1" t="s">
        <v>2146</v>
      </c>
      <c r="D63" s="1" t="s">
        <v>2033</v>
      </c>
      <c r="E63" s="1" t="s">
        <v>14</v>
      </c>
    </row>
    <row r="64" spans="2:5" x14ac:dyDescent="0.25">
      <c r="B64" s="1" t="s">
        <v>2147</v>
      </c>
      <c r="C64" s="1" t="s">
        <v>2148</v>
      </c>
      <c r="D64" s="1" t="s">
        <v>2033</v>
      </c>
      <c r="E64" s="1" t="s">
        <v>14</v>
      </c>
    </row>
    <row r="65" spans="2:5" x14ac:dyDescent="0.25">
      <c r="B65" s="1" t="s">
        <v>2149</v>
      </c>
      <c r="C65" s="1" t="s">
        <v>2150</v>
      </c>
      <c r="D65" s="1" t="s">
        <v>2033</v>
      </c>
      <c r="E65" s="1" t="s">
        <v>14</v>
      </c>
    </row>
    <row r="66" spans="2:5" x14ac:dyDescent="0.25">
      <c r="B66" s="1" t="s">
        <v>2151</v>
      </c>
      <c r="C66" s="1" t="s">
        <v>2152</v>
      </c>
      <c r="D66" s="1" t="s">
        <v>2033</v>
      </c>
      <c r="E66" s="1" t="s">
        <v>14</v>
      </c>
    </row>
    <row r="67" spans="2:5" x14ac:dyDescent="0.25">
      <c r="B67" s="1" t="s">
        <v>2153</v>
      </c>
      <c r="C67" s="1" t="s">
        <v>2154</v>
      </c>
      <c r="D67" s="1" t="s">
        <v>2033</v>
      </c>
      <c r="E67" s="1" t="s">
        <v>14</v>
      </c>
    </row>
    <row r="68" spans="2:5" x14ac:dyDescent="0.25">
      <c r="B68" s="1" t="s">
        <v>2155</v>
      </c>
      <c r="C68" s="1" t="s">
        <v>2156</v>
      </c>
      <c r="D68" s="1" t="s">
        <v>2033</v>
      </c>
      <c r="E68" s="1" t="s">
        <v>14</v>
      </c>
    </row>
    <row r="69" spans="2:5" x14ac:dyDescent="0.25">
      <c r="B69" s="1" t="s">
        <v>2157</v>
      </c>
      <c r="C69" s="1" t="s">
        <v>2158</v>
      </c>
      <c r="D69" s="1" t="s">
        <v>2033</v>
      </c>
      <c r="E69" s="1" t="s">
        <v>14</v>
      </c>
    </row>
    <row r="70" spans="2:5" x14ac:dyDescent="0.25">
      <c r="B70" s="1" t="s">
        <v>2159</v>
      </c>
      <c r="C70" s="1" t="s">
        <v>2160</v>
      </c>
      <c r="D70" s="1" t="s">
        <v>2033</v>
      </c>
      <c r="E70" s="1" t="s">
        <v>14</v>
      </c>
    </row>
    <row r="71" spans="2:5" x14ac:dyDescent="0.25">
      <c r="B71" s="1" t="s">
        <v>2161</v>
      </c>
      <c r="C71" s="1" t="s">
        <v>2162</v>
      </c>
      <c r="D71" s="1" t="s">
        <v>2033</v>
      </c>
      <c r="E71" s="1" t="s">
        <v>14</v>
      </c>
    </row>
    <row r="72" spans="2:5" x14ac:dyDescent="0.25">
      <c r="B72" s="1" t="s">
        <v>2163</v>
      </c>
      <c r="C72" s="1" t="s">
        <v>2164</v>
      </c>
      <c r="D72" s="1" t="s">
        <v>2033</v>
      </c>
      <c r="E72" s="1" t="s">
        <v>14</v>
      </c>
    </row>
    <row r="73" spans="2:5" x14ac:dyDescent="0.25">
      <c r="B73" s="1" t="s">
        <v>2165</v>
      </c>
      <c r="C73" s="1" t="s">
        <v>2166</v>
      </c>
      <c r="D73" s="1" t="s">
        <v>2033</v>
      </c>
      <c r="E73" s="1" t="s">
        <v>14</v>
      </c>
    </row>
    <row r="74" spans="2:5" x14ac:dyDescent="0.25">
      <c r="B74" s="1" t="s">
        <v>2167</v>
      </c>
      <c r="C74" s="1" t="s">
        <v>2168</v>
      </c>
      <c r="D74" s="1" t="s">
        <v>2033</v>
      </c>
      <c r="E74" s="1" t="s">
        <v>14</v>
      </c>
    </row>
    <row r="75" spans="2:5" x14ac:dyDescent="0.25">
      <c r="B75" s="1" t="s">
        <v>2169</v>
      </c>
      <c r="C75" s="1" t="s">
        <v>2170</v>
      </c>
      <c r="D75" s="1" t="s">
        <v>2072</v>
      </c>
      <c r="E75" s="1" t="s">
        <v>14</v>
      </c>
    </row>
    <row r="76" spans="2:5" x14ac:dyDescent="0.25">
      <c r="B76" s="1" t="s">
        <v>2171</v>
      </c>
      <c r="C76" s="1" t="s">
        <v>2172</v>
      </c>
      <c r="D76" s="1" t="s">
        <v>2072</v>
      </c>
      <c r="E76" s="1" t="s">
        <v>14</v>
      </c>
    </row>
    <row r="77" spans="2:5" x14ac:dyDescent="0.25">
      <c r="B77" s="1" t="s">
        <v>2173</v>
      </c>
      <c r="C77" s="1" t="s">
        <v>2174</v>
      </c>
      <c r="D77" s="1" t="s">
        <v>2072</v>
      </c>
      <c r="E77" s="1" t="s">
        <v>14</v>
      </c>
    </row>
    <row r="78" spans="2:5" x14ac:dyDescent="0.25">
      <c r="B78" s="1" t="s">
        <v>2175</v>
      </c>
      <c r="C78" s="1" t="s">
        <v>2176</v>
      </c>
      <c r="D78" s="1" t="s">
        <v>2072</v>
      </c>
      <c r="E78" s="1" t="s">
        <v>14</v>
      </c>
    </row>
    <row r="79" spans="2:5" x14ac:dyDescent="0.25">
      <c r="B79" s="1" t="s">
        <v>2177</v>
      </c>
      <c r="C79" s="1" t="s">
        <v>2178</v>
      </c>
      <c r="D79" s="1" t="s">
        <v>2072</v>
      </c>
      <c r="E79" s="1" t="s">
        <v>14</v>
      </c>
    </row>
    <row r="80" spans="2:5" x14ac:dyDescent="0.25">
      <c r="B80" s="1" t="s">
        <v>2179</v>
      </c>
      <c r="C80" s="1" t="s">
        <v>2180</v>
      </c>
      <c r="D80" s="1" t="s">
        <v>2022</v>
      </c>
      <c r="E80" s="1" t="s">
        <v>20</v>
      </c>
    </row>
    <row r="81" spans="2:5" x14ac:dyDescent="0.25">
      <c r="B81" s="1" t="s">
        <v>2181</v>
      </c>
      <c r="C81" s="1" t="s">
        <v>2182</v>
      </c>
      <c r="D81" s="1" t="s">
        <v>2022</v>
      </c>
      <c r="E81" s="1" t="s">
        <v>20</v>
      </c>
    </row>
    <row r="82" spans="2:5" x14ac:dyDescent="0.25">
      <c r="B82" s="1" t="s">
        <v>2183</v>
      </c>
      <c r="C82" s="1" t="s">
        <v>2184</v>
      </c>
      <c r="D82" s="1" t="s">
        <v>2022</v>
      </c>
      <c r="E82" s="1" t="s">
        <v>20</v>
      </c>
    </row>
    <row r="83" spans="2:5" x14ac:dyDescent="0.25">
      <c r="B83" s="1" t="s">
        <v>2185</v>
      </c>
      <c r="C83" s="1" t="s">
        <v>2186</v>
      </c>
      <c r="D83" s="1" t="s">
        <v>2022</v>
      </c>
      <c r="E83" s="1" t="s">
        <v>20</v>
      </c>
    </row>
    <row r="84" spans="2:5" x14ac:dyDescent="0.25">
      <c r="B84" s="1" t="s">
        <v>2187</v>
      </c>
      <c r="C84" s="1" t="s">
        <v>2188</v>
      </c>
      <c r="D84" s="1" t="s">
        <v>2022</v>
      </c>
      <c r="E84" s="1" t="s">
        <v>20</v>
      </c>
    </row>
    <row r="85" spans="2:5" x14ac:dyDescent="0.25">
      <c r="B85" s="1" t="s">
        <v>2189</v>
      </c>
      <c r="C85" s="1" t="s">
        <v>2190</v>
      </c>
      <c r="D85" s="1" t="s">
        <v>2022</v>
      </c>
      <c r="E85" s="1" t="s">
        <v>20</v>
      </c>
    </row>
    <row r="86" spans="2:5" x14ac:dyDescent="0.25">
      <c r="B86" s="1" t="s">
        <v>2191</v>
      </c>
      <c r="C86" s="1" t="s">
        <v>2192</v>
      </c>
      <c r="D86" s="1" t="s">
        <v>2033</v>
      </c>
      <c r="E86" s="1" t="s">
        <v>20</v>
      </c>
    </row>
    <row r="87" spans="2:5" x14ac:dyDescent="0.25">
      <c r="B87" s="1" t="s">
        <v>2193</v>
      </c>
      <c r="C87" s="1" t="s">
        <v>2194</v>
      </c>
      <c r="D87" s="1" t="s">
        <v>2033</v>
      </c>
      <c r="E87" s="1" t="s">
        <v>20</v>
      </c>
    </row>
    <row r="88" spans="2:5" x14ac:dyDescent="0.25">
      <c r="B88" s="1" t="s">
        <v>2195</v>
      </c>
      <c r="C88" s="1" t="s">
        <v>2196</v>
      </c>
      <c r="D88" s="1" t="s">
        <v>2033</v>
      </c>
      <c r="E88" s="1" t="s">
        <v>20</v>
      </c>
    </row>
    <row r="89" spans="2:5" x14ac:dyDescent="0.25">
      <c r="B89" s="1" t="s">
        <v>2197</v>
      </c>
      <c r="C89" s="1" t="s">
        <v>2198</v>
      </c>
      <c r="D89" s="1" t="s">
        <v>2033</v>
      </c>
      <c r="E89" s="1" t="s">
        <v>20</v>
      </c>
    </row>
    <row r="90" spans="2:5" x14ac:dyDescent="0.25">
      <c r="B90" s="1" t="s">
        <v>2199</v>
      </c>
      <c r="C90" s="1" t="s">
        <v>2200</v>
      </c>
      <c r="D90" s="1" t="s">
        <v>2033</v>
      </c>
      <c r="E90" s="1" t="s">
        <v>20</v>
      </c>
    </row>
    <row r="91" spans="2:5" x14ac:dyDescent="0.25">
      <c r="B91" s="1" t="s">
        <v>2201</v>
      </c>
      <c r="C91" s="1" t="s">
        <v>2202</v>
      </c>
      <c r="D91" s="1" t="s">
        <v>2033</v>
      </c>
      <c r="E91" s="1" t="s">
        <v>20</v>
      </c>
    </row>
    <row r="92" spans="2:5" x14ac:dyDescent="0.25">
      <c r="B92" s="1" t="s">
        <v>2203</v>
      </c>
      <c r="C92" s="1" t="s">
        <v>2204</v>
      </c>
      <c r="D92" s="1" t="s">
        <v>2033</v>
      </c>
      <c r="E92" s="1" t="s">
        <v>20</v>
      </c>
    </row>
    <row r="93" spans="2:5" x14ac:dyDescent="0.25">
      <c r="B93" s="1" t="s">
        <v>2205</v>
      </c>
      <c r="C93" s="1" t="s">
        <v>2206</v>
      </c>
      <c r="D93" s="1" t="s">
        <v>2033</v>
      </c>
      <c r="E93" s="1" t="s">
        <v>20</v>
      </c>
    </row>
    <row r="94" spans="2:5" x14ac:dyDescent="0.25">
      <c r="B94" s="1" t="s">
        <v>2207</v>
      </c>
      <c r="C94" s="1" t="s">
        <v>2208</v>
      </c>
      <c r="D94" s="1" t="s">
        <v>2033</v>
      </c>
      <c r="E94" s="1" t="s">
        <v>20</v>
      </c>
    </row>
    <row r="95" spans="2:5" x14ac:dyDescent="0.25">
      <c r="B95" s="1" t="s">
        <v>2209</v>
      </c>
      <c r="C95" s="1" t="s">
        <v>2210</v>
      </c>
      <c r="D95" s="1" t="s">
        <v>2033</v>
      </c>
      <c r="E95" s="1" t="s">
        <v>20</v>
      </c>
    </row>
    <row r="96" spans="2:5" x14ac:dyDescent="0.25">
      <c r="B96" s="1" t="s">
        <v>2211</v>
      </c>
      <c r="C96" s="1" t="s">
        <v>2212</v>
      </c>
      <c r="D96" s="1" t="s">
        <v>2033</v>
      </c>
      <c r="E96" s="1" t="s">
        <v>20</v>
      </c>
    </row>
    <row r="97" spans="2:5" x14ac:dyDescent="0.25">
      <c r="B97" s="1" t="s">
        <v>2213</v>
      </c>
      <c r="C97" s="1" t="s">
        <v>2214</v>
      </c>
      <c r="D97" s="1" t="s">
        <v>2033</v>
      </c>
      <c r="E97" s="1" t="s">
        <v>20</v>
      </c>
    </row>
    <row r="98" spans="2:5" x14ac:dyDescent="0.25">
      <c r="B98" s="1" t="s">
        <v>2215</v>
      </c>
      <c r="C98" s="1" t="s">
        <v>2216</v>
      </c>
      <c r="D98" s="1" t="s">
        <v>2033</v>
      </c>
      <c r="E98" s="1" t="s">
        <v>20</v>
      </c>
    </row>
    <row r="99" spans="2:5" x14ac:dyDescent="0.25">
      <c r="B99" s="1" t="s">
        <v>2217</v>
      </c>
      <c r="C99" s="1" t="s">
        <v>2218</v>
      </c>
      <c r="D99" s="1" t="s">
        <v>2033</v>
      </c>
      <c r="E99" s="1" t="s">
        <v>20</v>
      </c>
    </row>
    <row r="100" spans="2:5" x14ac:dyDescent="0.25">
      <c r="B100" s="1" t="s">
        <v>2219</v>
      </c>
      <c r="C100" s="1" t="s">
        <v>1316</v>
      </c>
      <c r="D100" s="1" t="s">
        <v>2033</v>
      </c>
      <c r="E100" s="1" t="s">
        <v>20</v>
      </c>
    </row>
    <row r="101" spans="2:5" x14ac:dyDescent="0.25">
      <c r="B101" s="1" t="s">
        <v>2220</v>
      </c>
      <c r="C101" s="1" t="s">
        <v>2221</v>
      </c>
      <c r="D101" s="1" t="s">
        <v>2033</v>
      </c>
      <c r="E101" s="1" t="s">
        <v>20</v>
      </c>
    </row>
    <row r="102" spans="2:5" x14ac:dyDescent="0.25">
      <c r="B102" s="1" t="s">
        <v>2222</v>
      </c>
      <c r="C102" s="1" t="s">
        <v>2223</v>
      </c>
      <c r="D102" s="1" t="s">
        <v>2033</v>
      </c>
      <c r="E102" s="1" t="s">
        <v>20</v>
      </c>
    </row>
    <row r="103" spans="2:5" x14ac:dyDescent="0.25">
      <c r="B103" s="1" t="s">
        <v>2224</v>
      </c>
      <c r="C103" s="1" t="s">
        <v>2225</v>
      </c>
      <c r="D103" s="1" t="s">
        <v>2033</v>
      </c>
      <c r="E103" s="1" t="s">
        <v>20</v>
      </c>
    </row>
    <row r="104" spans="2:5" x14ac:dyDescent="0.25">
      <c r="B104" s="1" t="s">
        <v>2226</v>
      </c>
      <c r="C104" s="1" t="s">
        <v>2227</v>
      </c>
      <c r="D104" s="1" t="s">
        <v>2072</v>
      </c>
      <c r="E104" s="1" t="s">
        <v>20</v>
      </c>
    </row>
    <row r="105" spans="2:5" x14ac:dyDescent="0.25">
      <c r="B105" s="1" t="s">
        <v>2228</v>
      </c>
      <c r="C105" s="1" t="s">
        <v>2229</v>
      </c>
      <c r="D105" s="1" t="s">
        <v>2072</v>
      </c>
      <c r="E105" s="1" t="s">
        <v>20</v>
      </c>
    </row>
    <row r="106" spans="2:5" x14ac:dyDescent="0.25">
      <c r="B106" s="1" t="s">
        <v>2230</v>
      </c>
      <c r="C106" s="1" t="s">
        <v>2231</v>
      </c>
      <c r="D106" s="1" t="s">
        <v>2072</v>
      </c>
      <c r="E106" s="1" t="s">
        <v>20</v>
      </c>
    </row>
    <row r="107" spans="2:5" x14ac:dyDescent="0.25">
      <c r="B107" s="1" t="s">
        <v>2232</v>
      </c>
      <c r="C107" s="1" t="s">
        <v>2233</v>
      </c>
      <c r="D107" s="1" t="s">
        <v>2072</v>
      </c>
      <c r="E107" s="1" t="s">
        <v>20</v>
      </c>
    </row>
    <row r="108" spans="2:5" x14ac:dyDescent="0.25">
      <c r="B108" s="1" t="s">
        <v>2234</v>
      </c>
      <c r="C108" s="1" t="s">
        <v>2235</v>
      </c>
      <c r="D108" s="1" t="s">
        <v>2072</v>
      </c>
      <c r="E108" s="1" t="s">
        <v>20</v>
      </c>
    </row>
    <row r="109" spans="2:5" x14ac:dyDescent="0.25">
      <c r="B109" s="1" t="s">
        <v>2236</v>
      </c>
      <c r="C109" s="1" t="s">
        <v>2237</v>
      </c>
      <c r="D109" s="1" t="s">
        <v>2072</v>
      </c>
      <c r="E109" s="1" t="s">
        <v>20</v>
      </c>
    </row>
    <row r="110" spans="2:5" x14ac:dyDescent="0.25">
      <c r="B110" s="1" t="s">
        <v>2238</v>
      </c>
      <c r="C110" s="1" t="s">
        <v>2239</v>
      </c>
      <c r="D110" s="1" t="s">
        <v>2072</v>
      </c>
      <c r="E110" s="1" t="s">
        <v>20</v>
      </c>
    </row>
    <row r="111" spans="2:5" x14ac:dyDescent="0.25">
      <c r="B111" s="1" t="s">
        <v>2240</v>
      </c>
      <c r="C111" s="1" t="s">
        <v>2241</v>
      </c>
      <c r="D111" s="1" t="s">
        <v>2072</v>
      </c>
      <c r="E111" s="1" t="s">
        <v>20</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D55C4-DB72-47FB-A6FD-1F45F87BB142}">
  <dimension ref="A1:L209"/>
  <sheetViews>
    <sheetView tabSelected="1" workbookViewId="0">
      <selection sqref="A1:A1048576"/>
    </sheetView>
  </sheetViews>
  <sheetFormatPr defaultRowHeight="15" x14ac:dyDescent="0.25"/>
  <cols>
    <col min="1" max="1" width="24.5703125" style="10" customWidth="1"/>
    <col min="2" max="2" width="8" bestFit="1" customWidth="1"/>
    <col min="4" max="5" width="16.7109375" bestFit="1" customWidth="1"/>
    <col min="6" max="6" width="18.7109375" bestFit="1" customWidth="1"/>
    <col min="7" max="7" width="20" bestFit="1" customWidth="1"/>
    <col min="8" max="8" width="18.7109375" bestFit="1" customWidth="1"/>
    <col min="9" max="9" width="21.42578125" bestFit="1" customWidth="1"/>
    <col min="10" max="10" width="14.5703125" bestFit="1" customWidth="1"/>
    <col min="11" max="11" width="9" bestFit="1" customWidth="1"/>
    <col min="12" max="12" width="20.85546875" customWidth="1"/>
  </cols>
  <sheetData>
    <row r="1" spans="2:12" x14ac:dyDescent="0.25">
      <c r="B1" t="s">
        <v>2004</v>
      </c>
      <c r="C1" t="s">
        <v>2005</v>
      </c>
      <c r="D1" t="s">
        <v>5</v>
      </c>
      <c r="E1" t="s">
        <v>2006</v>
      </c>
      <c r="F1" t="s">
        <v>2007</v>
      </c>
      <c r="G1" t="s">
        <v>2008</v>
      </c>
      <c r="H1" t="s">
        <v>2009</v>
      </c>
      <c r="I1" t="s">
        <v>2010</v>
      </c>
      <c r="J1" t="s">
        <v>2011</v>
      </c>
      <c r="K1" t="s">
        <v>2012</v>
      </c>
      <c r="L1" s="11" t="s">
        <v>2249</v>
      </c>
    </row>
    <row r="2" spans="2:12" x14ac:dyDescent="0.25">
      <c r="B2">
        <v>1</v>
      </c>
      <c r="C2">
        <v>1</v>
      </c>
      <c r="D2" s="1" t="s">
        <v>17</v>
      </c>
      <c r="E2">
        <v>32</v>
      </c>
      <c r="F2">
        <v>76</v>
      </c>
      <c r="G2">
        <v>32</v>
      </c>
      <c r="H2">
        <v>44</v>
      </c>
      <c r="I2">
        <v>67</v>
      </c>
      <c r="J2">
        <v>70</v>
      </c>
      <c r="K2" s="1" t="s">
        <v>2013</v>
      </c>
      <c r="L2" s="12">
        <f>services_weekly[[#This Row],[patients_admitted]]/services_weekly[[#This Row],[available_beds]]</f>
        <v>1</v>
      </c>
    </row>
    <row r="3" spans="2:12" x14ac:dyDescent="0.25">
      <c r="B3">
        <v>1</v>
      </c>
      <c r="C3">
        <v>1</v>
      </c>
      <c r="D3" s="1" t="s">
        <v>9</v>
      </c>
      <c r="E3">
        <v>45</v>
      </c>
      <c r="F3">
        <v>130</v>
      </c>
      <c r="G3">
        <v>45</v>
      </c>
      <c r="H3">
        <v>85</v>
      </c>
      <c r="I3">
        <v>83</v>
      </c>
      <c r="J3">
        <v>78</v>
      </c>
      <c r="K3" s="1" t="s">
        <v>2014</v>
      </c>
      <c r="L3" s="13">
        <f>services_weekly[[#This Row],[patients_admitted]]/services_weekly[[#This Row],[available_beds]]</f>
        <v>1</v>
      </c>
    </row>
    <row r="4" spans="2:12" x14ac:dyDescent="0.25">
      <c r="B4">
        <v>1</v>
      </c>
      <c r="C4">
        <v>1</v>
      </c>
      <c r="D4" s="1" t="s">
        <v>14</v>
      </c>
      <c r="E4">
        <v>37</v>
      </c>
      <c r="F4">
        <v>201</v>
      </c>
      <c r="G4">
        <v>37</v>
      </c>
      <c r="H4">
        <v>164</v>
      </c>
      <c r="I4">
        <v>97</v>
      </c>
      <c r="J4">
        <v>43</v>
      </c>
      <c r="K4" s="1" t="s">
        <v>2014</v>
      </c>
      <c r="L4" s="12">
        <f>services_weekly[[#This Row],[patients_admitted]]/services_weekly[[#This Row],[available_beds]]</f>
        <v>1</v>
      </c>
    </row>
    <row r="5" spans="2:12" x14ac:dyDescent="0.25">
      <c r="B5">
        <v>1</v>
      </c>
      <c r="C5">
        <v>1</v>
      </c>
      <c r="D5" s="1" t="s">
        <v>20</v>
      </c>
      <c r="E5">
        <v>22</v>
      </c>
      <c r="F5">
        <v>31</v>
      </c>
      <c r="G5">
        <v>22</v>
      </c>
      <c r="H5">
        <v>9</v>
      </c>
      <c r="I5">
        <v>84</v>
      </c>
      <c r="J5">
        <v>91</v>
      </c>
      <c r="K5" s="1" t="s">
        <v>2014</v>
      </c>
      <c r="L5" s="13">
        <f>services_weekly[[#This Row],[patients_admitted]]/services_weekly[[#This Row],[available_beds]]</f>
        <v>1</v>
      </c>
    </row>
    <row r="6" spans="2:12" x14ac:dyDescent="0.25">
      <c r="B6">
        <v>2</v>
      </c>
      <c r="C6">
        <v>1</v>
      </c>
      <c r="D6" s="1" t="s">
        <v>17</v>
      </c>
      <c r="E6">
        <v>28</v>
      </c>
      <c r="F6">
        <v>169</v>
      </c>
      <c r="G6">
        <v>28</v>
      </c>
      <c r="H6">
        <v>141</v>
      </c>
      <c r="I6">
        <v>75</v>
      </c>
      <c r="J6">
        <v>64</v>
      </c>
      <c r="K6" s="1" t="s">
        <v>2013</v>
      </c>
      <c r="L6" s="12">
        <f>services_weekly[[#This Row],[patients_admitted]]/services_weekly[[#This Row],[available_beds]]</f>
        <v>1</v>
      </c>
    </row>
    <row r="7" spans="2:12" x14ac:dyDescent="0.25">
      <c r="B7">
        <v>2</v>
      </c>
      <c r="C7">
        <v>1</v>
      </c>
      <c r="D7" s="1" t="s">
        <v>9</v>
      </c>
      <c r="E7">
        <v>40</v>
      </c>
      <c r="F7">
        <v>26</v>
      </c>
      <c r="G7">
        <v>26</v>
      </c>
      <c r="H7">
        <v>0</v>
      </c>
      <c r="I7">
        <v>96</v>
      </c>
      <c r="J7">
        <v>56</v>
      </c>
      <c r="K7" s="1" t="s">
        <v>2013</v>
      </c>
      <c r="L7" s="13">
        <f>services_weekly[[#This Row],[patients_admitted]]/services_weekly[[#This Row],[available_beds]]</f>
        <v>0.65</v>
      </c>
    </row>
    <row r="8" spans="2:12" x14ac:dyDescent="0.25">
      <c r="B8">
        <v>2</v>
      </c>
      <c r="C8">
        <v>1</v>
      </c>
      <c r="D8" s="1" t="s">
        <v>14</v>
      </c>
      <c r="E8">
        <v>43</v>
      </c>
      <c r="F8">
        <v>183</v>
      </c>
      <c r="G8">
        <v>43</v>
      </c>
      <c r="H8">
        <v>140</v>
      </c>
      <c r="I8">
        <v>73</v>
      </c>
      <c r="J8">
        <v>93</v>
      </c>
      <c r="K8" s="1" t="s">
        <v>2014</v>
      </c>
      <c r="L8" s="12">
        <f>services_weekly[[#This Row],[patients_admitted]]/services_weekly[[#This Row],[available_beds]]</f>
        <v>1</v>
      </c>
    </row>
    <row r="9" spans="2:12" x14ac:dyDescent="0.25">
      <c r="B9">
        <v>2</v>
      </c>
      <c r="C9">
        <v>1</v>
      </c>
      <c r="D9" s="1" t="s">
        <v>20</v>
      </c>
      <c r="E9">
        <v>16</v>
      </c>
      <c r="F9">
        <v>7</v>
      </c>
      <c r="G9">
        <v>7</v>
      </c>
      <c r="H9">
        <v>0</v>
      </c>
      <c r="I9">
        <v>79</v>
      </c>
      <c r="J9">
        <v>85</v>
      </c>
      <c r="K9" s="1" t="s">
        <v>2015</v>
      </c>
      <c r="L9" s="13">
        <f>services_weekly[[#This Row],[patients_admitted]]/services_weekly[[#This Row],[available_beds]]</f>
        <v>0.4375</v>
      </c>
    </row>
    <row r="10" spans="2:12" x14ac:dyDescent="0.25">
      <c r="B10">
        <v>3</v>
      </c>
      <c r="C10">
        <v>1</v>
      </c>
      <c r="D10" s="1" t="s">
        <v>17</v>
      </c>
      <c r="E10">
        <v>32</v>
      </c>
      <c r="F10">
        <v>177</v>
      </c>
      <c r="G10">
        <v>32</v>
      </c>
      <c r="H10">
        <v>145</v>
      </c>
      <c r="I10">
        <v>73</v>
      </c>
      <c r="J10">
        <v>58</v>
      </c>
      <c r="K10" s="1" t="s">
        <v>2014</v>
      </c>
      <c r="L10" s="12">
        <f>services_weekly[[#This Row],[patients_admitted]]/services_weekly[[#This Row],[available_beds]]</f>
        <v>1</v>
      </c>
    </row>
    <row r="11" spans="2:12" x14ac:dyDescent="0.25">
      <c r="B11">
        <v>3</v>
      </c>
      <c r="C11">
        <v>1</v>
      </c>
      <c r="D11" s="1" t="s">
        <v>9</v>
      </c>
      <c r="E11">
        <v>27</v>
      </c>
      <c r="F11">
        <v>66</v>
      </c>
      <c r="G11">
        <v>27</v>
      </c>
      <c r="H11">
        <v>39</v>
      </c>
      <c r="I11">
        <v>63</v>
      </c>
      <c r="J11">
        <v>72</v>
      </c>
      <c r="K11" s="1" t="s">
        <v>2014</v>
      </c>
      <c r="L11" s="13">
        <f>services_weekly[[#This Row],[patients_admitted]]/services_weekly[[#This Row],[available_beds]]</f>
        <v>1</v>
      </c>
    </row>
    <row r="12" spans="2:12" x14ac:dyDescent="0.25">
      <c r="B12">
        <v>3</v>
      </c>
      <c r="C12">
        <v>1</v>
      </c>
      <c r="D12" s="1" t="s">
        <v>14</v>
      </c>
      <c r="E12">
        <v>37</v>
      </c>
      <c r="F12">
        <v>58</v>
      </c>
      <c r="G12">
        <v>37</v>
      </c>
      <c r="H12">
        <v>21</v>
      </c>
      <c r="I12">
        <v>95</v>
      </c>
      <c r="J12">
        <v>63</v>
      </c>
      <c r="K12" s="1" t="s">
        <v>2013</v>
      </c>
      <c r="L12" s="12">
        <f>services_weekly[[#This Row],[patients_admitted]]/services_weekly[[#This Row],[available_beds]]</f>
        <v>1</v>
      </c>
    </row>
    <row r="13" spans="2:12" x14ac:dyDescent="0.25">
      <c r="B13">
        <v>3</v>
      </c>
      <c r="C13">
        <v>1</v>
      </c>
      <c r="D13" s="1" t="s">
        <v>20</v>
      </c>
      <c r="E13">
        <v>20</v>
      </c>
      <c r="F13">
        <v>21</v>
      </c>
      <c r="G13">
        <v>20</v>
      </c>
      <c r="H13">
        <v>1</v>
      </c>
      <c r="I13">
        <v>82</v>
      </c>
      <c r="J13">
        <v>89</v>
      </c>
      <c r="K13" s="1" t="s">
        <v>2013</v>
      </c>
      <c r="L13" s="13">
        <f>services_weekly[[#This Row],[patients_admitted]]/services_weekly[[#This Row],[available_beds]]</f>
        <v>1</v>
      </c>
    </row>
    <row r="14" spans="2:12" x14ac:dyDescent="0.25">
      <c r="B14">
        <v>4</v>
      </c>
      <c r="C14">
        <v>1</v>
      </c>
      <c r="D14" s="1" t="s">
        <v>17</v>
      </c>
      <c r="E14">
        <v>32</v>
      </c>
      <c r="F14">
        <v>157</v>
      </c>
      <c r="G14">
        <v>32</v>
      </c>
      <c r="H14">
        <v>125</v>
      </c>
      <c r="I14">
        <v>83</v>
      </c>
      <c r="J14">
        <v>75</v>
      </c>
      <c r="K14" s="1" t="s">
        <v>2013</v>
      </c>
      <c r="L14" s="12">
        <f>services_weekly[[#This Row],[patients_admitted]]/services_weekly[[#This Row],[available_beds]]</f>
        <v>1</v>
      </c>
    </row>
    <row r="15" spans="2:12" x14ac:dyDescent="0.25">
      <c r="B15">
        <v>4</v>
      </c>
      <c r="C15">
        <v>1</v>
      </c>
      <c r="D15" s="1" t="s">
        <v>9</v>
      </c>
      <c r="E15">
        <v>56</v>
      </c>
      <c r="F15">
        <v>57</v>
      </c>
      <c r="G15">
        <v>56</v>
      </c>
      <c r="H15">
        <v>1</v>
      </c>
      <c r="I15">
        <v>74</v>
      </c>
      <c r="J15">
        <v>94</v>
      </c>
      <c r="K15" s="1" t="s">
        <v>2013</v>
      </c>
      <c r="L15" s="13">
        <f>services_weekly[[#This Row],[patients_admitted]]/services_weekly[[#This Row],[available_beds]]</f>
        <v>1</v>
      </c>
    </row>
    <row r="16" spans="2:12" x14ac:dyDescent="0.25">
      <c r="B16">
        <v>4</v>
      </c>
      <c r="C16">
        <v>1</v>
      </c>
      <c r="D16" s="1" t="s">
        <v>14</v>
      </c>
      <c r="E16">
        <v>43</v>
      </c>
      <c r="F16">
        <v>152</v>
      </c>
      <c r="G16">
        <v>43</v>
      </c>
      <c r="H16">
        <v>109</v>
      </c>
      <c r="I16">
        <v>67</v>
      </c>
      <c r="J16">
        <v>66</v>
      </c>
      <c r="K16" s="1" t="s">
        <v>2014</v>
      </c>
      <c r="L16" s="12">
        <f>services_weekly[[#This Row],[patients_admitted]]/services_weekly[[#This Row],[available_beds]]</f>
        <v>1</v>
      </c>
    </row>
    <row r="17" spans="2:12" x14ac:dyDescent="0.25">
      <c r="B17">
        <v>4</v>
      </c>
      <c r="C17">
        <v>1</v>
      </c>
      <c r="D17" s="1" t="s">
        <v>20</v>
      </c>
      <c r="E17">
        <v>20</v>
      </c>
      <c r="F17">
        <v>21</v>
      </c>
      <c r="G17">
        <v>20</v>
      </c>
      <c r="H17">
        <v>1</v>
      </c>
      <c r="I17">
        <v>64</v>
      </c>
      <c r="J17">
        <v>85</v>
      </c>
      <c r="K17" s="1" t="s">
        <v>2014</v>
      </c>
      <c r="L17" s="13">
        <f>services_weekly[[#This Row],[patients_admitted]]/services_weekly[[#This Row],[available_beds]]</f>
        <v>1</v>
      </c>
    </row>
    <row r="18" spans="2:12" x14ac:dyDescent="0.25">
      <c r="B18">
        <v>5</v>
      </c>
      <c r="C18">
        <v>2</v>
      </c>
      <c r="D18" s="1" t="s">
        <v>17</v>
      </c>
      <c r="E18">
        <v>25</v>
      </c>
      <c r="F18">
        <v>388</v>
      </c>
      <c r="G18">
        <v>25</v>
      </c>
      <c r="H18">
        <v>363</v>
      </c>
      <c r="I18">
        <v>93</v>
      </c>
      <c r="J18">
        <v>72</v>
      </c>
      <c r="K18" s="1" t="s">
        <v>2014</v>
      </c>
      <c r="L18" s="12">
        <f>services_weekly[[#This Row],[patients_admitted]]/services_weekly[[#This Row],[available_beds]]</f>
        <v>1</v>
      </c>
    </row>
    <row r="19" spans="2:12" x14ac:dyDescent="0.25">
      <c r="B19">
        <v>5</v>
      </c>
      <c r="C19">
        <v>2</v>
      </c>
      <c r="D19" s="1" t="s">
        <v>9</v>
      </c>
      <c r="E19">
        <v>26</v>
      </c>
      <c r="F19">
        <v>70</v>
      </c>
      <c r="G19">
        <v>26</v>
      </c>
      <c r="H19">
        <v>44</v>
      </c>
      <c r="I19">
        <v>81</v>
      </c>
      <c r="J19">
        <v>83</v>
      </c>
      <c r="K19" s="1" t="s">
        <v>2015</v>
      </c>
      <c r="L19" s="13">
        <f>services_weekly[[#This Row],[patients_admitted]]/services_weekly[[#This Row],[available_beds]]</f>
        <v>1</v>
      </c>
    </row>
    <row r="20" spans="2:12" x14ac:dyDescent="0.25">
      <c r="B20">
        <v>5</v>
      </c>
      <c r="C20">
        <v>2</v>
      </c>
      <c r="D20" s="1" t="s">
        <v>14</v>
      </c>
      <c r="E20">
        <v>40</v>
      </c>
      <c r="F20">
        <v>103</v>
      </c>
      <c r="G20">
        <v>40</v>
      </c>
      <c r="H20">
        <v>63</v>
      </c>
      <c r="I20">
        <v>73</v>
      </c>
      <c r="J20">
        <v>52</v>
      </c>
      <c r="K20" s="1" t="s">
        <v>2013</v>
      </c>
      <c r="L20" s="12">
        <f>services_weekly[[#This Row],[patients_admitted]]/services_weekly[[#This Row],[available_beds]]</f>
        <v>1</v>
      </c>
    </row>
    <row r="21" spans="2:12" x14ac:dyDescent="0.25">
      <c r="B21">
        <v>5</v>
      </c>
      <c r="C21">
        <v>2</v>
      </c>
      <c r="D21" s="1" t="s">
        <v>20</v>
      </c>
      <c r="E21">
        <v>22</v>
      </c>
      <c r="F21">
        <v>13</v>
      </c>
      <c r="G21">
        <v>13</v>
      </c>
      <c r="H21">
        <v>0</v>
      </c>
      <c r="I21">
        <v>73</v>
      </c>
      <c r="J21">
        <v>88</v>
      </c>
      <c r="K21" s="1" t="s">
        <v>2013</v>
      </c>
      <c r="L21" s="13">
        <f>services_weekly[[#This Row],[patients_admitted]]/services_weekly[[#This Row],[available_beds]]</f>
        <v>0.59090909090909094</v>
      </c>
    </row>
    <row r="22" spans="2:12" x14ac:dyDescent="0.25">
      <c r="B22">
        <v>6</v>
      </c>
      <c r="C22">
        <v>2</v>
      </c>
      <c r="D22" s="1" t="s">
        <v>17</v>
      </c>
      <c r="E22">
        <v>34</v>
      </c>
      <c r="F22">
        <v>198</v>
      </c>
      <c r="G22">
        <v>34</v>
      </c>
      <c r="H22">
        <v>164</v>
      </c>
      <c r="I22">
        <v>72</v>
      </c>
      <c r="J22">
        <v>76</v>
      </c>
      <c r="K22" s="1" t="s">
        <v>2014</v>
      </c>
      <c r="L22" s="12">
        <f>services_weekly[[#This Row],[patients_admitted]]/services_weekly[[#This Row],[available_beds]]</f>
        <v>1</v>
      </c>
    </row>
    <row r="23" spans="2:12" x14ac:dyDescent="0.25">
      <c r="B23">
        <v>6</v>
      </c>
      <c r="C23">
        <v>2</v>
      </c>
      <c r="D23" s="1" t="s">
        <v>9</v>
      </c>
      <c r="E23">
        <v>27</v>
      </c>
      <c r="F23">
        <v>58</v>
      </c>
      <c r="G23">
        <v>27</v>
      </c>
      <c r="H23">
        <v>31</v>
      </c>
      <c r="I23">
        <v>96</v>
      </c>
      <c r="J23">
        <v>81</v>
      </c>
      <c r="K23" s="1" t="s">
        <v>2015</v>
      </c>
      <c r="L23" s="13">
        <f>services_weekly[[#This Row],[patients_admitted]]/services_weekly[[#This Row],[available_beds]]</f>
        <v>1</v>
      </c>
    </row>
    <row r="24" spans="2:12" x14ac:dyDescent="0.25">
      <c r="B24">
        <v>6</v>
      </c>
      <c r="C24">
        <v>2</v>
      </c>
      <c r="D24" s="1" t="s">
        <v>14</v>
      </c>
      <c r="E24">
        <v>69</v>
      </c>
      <c r="F24">
        <v>90</v>
      </c>
      <c r="G24">
        <v>69</v>
      </c>
      <c r="H24">
        <v>21</v>
      </c>
      <c r="I24">
        <v>72</v>
      </c>
      <c r="J24">
        <v>81</v>
      </c>
      <c r="K24" s="1" t="s">
        <v>2013</v>
      </c>
      <c r="L24" s="12">
        <f>services_weekly[[#This Row],[patients_admitted]]/services_weekly[[#This Row],[available_beds]]</f>
        <v>1</v>
      </c>
    </row>
    <row r="25" spans="2:12" x14ac:dyDescent="0.25">
      <c r="B25">
        <v>6</v>
      </c>
      <c r="C25">
        <v>2</v>
      </c>
      <c r="D25" s="1" t="s">
        <v>20</v>
      </c>
      <c r="E25">
        <v>14</v>
      </c>
      <c r="F25">
        <v>12</v>
      </c>
      <c r="G25">
        <v>12</v>
      </c>
      <c r="H25">
        <v>0</v>
      </c>
      <c r="I25">
        <v>87</v>
      </c>
      <c r="J25">
        <v>51</v>
      </c>
      <c r="K25" s="1" t="s">
        <v>2013</v>
      </c>
      <c r="L25" s="13">
        <f>services_weekly[[#This Row],[patients_admitted]]/services_weekly[[#This Row],[available_beds]]</f>
        <v>0.8571428571428571</v>
      </c>
    </row>
    <row r="26" spans="2:12" x14ac:dyDescent="0.25">
      <c r="B26">
        <v>7</v>
      </c>
      <c r="C26">
        <v>2</v>
      </c>
      <c r="D26" s="1" t="s">
        <v>17</v>
      </c>
      <c r="E26">
        <v>33</v>
      </c>
      <c r="F26">
        <v>127</v>
      </c>
      <c r="G26">
        <v>33</v>
      </c>
      <c r="H26">
        <v>94</v>
      </c>
      <c r="I26">
        <v>65</v>
      </c>
      <c r="J26">
        <v>77</v>
      </c>
      <c r="K26" s="1" t="s">
        <v>2013</v>
      </c>
      <c r="L26" s="12">
        <f>services_weekly[[#This Row],[patients_admitted]]/services_weekly[[#This Row],[available_beds]]</f>
        <v>1</v>
      </c>
    </row>
    <row r="27" spans="2:12" x14ac:dyDescent="0.25">
      <c r="B27">
        <v>7</v>
      </c>
      <c r="C27">
        <v>2</v>
      </c>
      <c r="D27" s="1" t="s">
        <v>9</v>
      </c>
      <c r="E27">
        <v>37</v>
      </c>
      <c r="F27">
        <v>46</v>
      </c>
      <c r="G27">
        <v>37</v>
      </c>
      <c r="H27">
        <v>9</v>
      </c>
      <c r="I27">
        <v>89</v>
      </c>
      <c r="J27">
        <v>60</v>
      </c>
      <c r="K27" s="1" t="s">
        <v>2013</v>
      </c>
      <c r="L27" s="13">
        <f>services_weekly[[#This Row],[patients_admitted]]/services_weekly[[#This Row],[available_beds]]</f>
        <v>1</v>
      </c>
    </row>
    <row r="28" spans="2:12" x14ac:dyDescent="0.25">
      <c r="B28">
        <v>7</v>
      </c>
      <c r="C28">
        <v>2</v>
      </c>
      <c r="D28" s="1" t="s">
        <v>14</v>
      </c>
      <c r="E28">
        <v>62</v>
      </c>
      <c r="F28">
        <v>80</v>
      </c>
      <c r="G28">
        <v>62</v>
      </c>
      <c r="H28">
        <v>18</v>
      </c>
      <c r="I28">
        <v>84</v>
      </c>
      <c r="J28">
        <v>98</v>
      </c>
      <c r="K28" s="1" t="s">
        <v>2015</v>
      </c>
      <c r="L28" s="12">
        <f>services_weekly[[#This Row],[patients_admitted]]/services_weekly[[#This Row],[available_beds]]</f>
        <v>1</v>
      </c>
    </row>
    <row r="29" spans="2:12" x14ac:dyDescent="0.25">
      <c r="B29">
        <v>7</v>
      </c>
      <c r="C29">
        <v>2</v>
      </c>
      <c r="D29" s="1" t="s">
        <v>20</v>
      </c>
      <c r="E29">
        <v>21</v>
      </c>
      <c r="F29">
        <v>47</v>
      </c>
      <c r="G29">
        <v>21</v>
      </c>
      <c r="H29">
        <v>26</v>
      </c>
      <c r="I29">
        <v>72</v>
      </c>
      <c r="J29">
        <v>83</v>
      </c>
      <c r="K29" s="1" t="s">
        <v>2014</v>
      </c>
      <c r="L29" s="13">
        <f>services_weekly[[#This Row],[patients_admitted]]/services_weekly[[#This Row],[available_beds]]</f>
        <v>1</v>
      </c>
    </row>
    <row r="30" spans="2:12" x14ac:dyDescent="0.25">
      <c r="B30">
        <v>8</v>
      </c>
      <c r="C30">
        <v>2</v>
      </c>
      <c r="D30" s="1" t="s">
        <v>17</v>
      </c>
      <c r="E30">
        <v>26</v>
      </c>
      <c r="F30">
        <v>240</v>
      </c>
      <c r="G30">
        <v>26</v>
      </c>
      <c r="H30">
        <v>214</v>
      </c>
      <c r="I30">
        <v>96</v>
      </c>
      <c r="J30">
        <v>75</v>
      </c>
      <c r="K30" s="1" t="s">
        <v>2014</v>
      </c>
      <c r="L30" s="12">
        <f>services_weekly[[#This Row],[patients_admitted]]/services_weekly[[#This Row],[available_beds]]</f>
        <v>1</v>
      </c>
    </row>
    <row r="31" spans="2:12" x14ac:dyDescent="0.25">
      <c r="B31">
        <v>8</v>
      </c>
      <c r="C31">
        <v>2</v>
      </c>
      <c r="D31" s="1" t="s">
        <v>9</v>
      </c>
      <c r="E31">
        <v>51</v>
      </c>
      <c r="F31">
        <v>20</v>
      </c>
      <c r="G31">
        <v>20</v>
      </c>
      <c r="H31">
        <v>0</v>
      </c>
      <c r="I31">
        <v>91</v>
      </c>
      <c r="J31">
        <v>61</v>
      </c>
      <c r="K31" s="1" t="s">
        <v>2016</v>
      </c>
      <c r="L31" s="13">
        <f>services_weekly[[#This Row],[patients_admitted]]/services_weekly[[#This Row],[available_beds]]</f>
        <v>0.39215686274509803</v>
      </c>
    </row>
    <row r="32" spans="2:12" x14ac:dyDescent="0.25">
      <c r="B32">
        <v>8</v>
      </c>
      <c r="C32">
        <v>2</v>
      </c>
      <c r="D32" s="1" t="s">
        <v>14</v>
      </c>
      <c r="E32">
        <v>58</v>
      </c>
      <c r="F32">
        <v>105</v>
      </c>
      <c r="G32">
        <v>58</v>
      </c>
      <c r="H32">
        <v>47</v>
      </c>
      <c r="I32">
        <v>71</v>
      </c>
      <c r="J32">
        <v>88</v>
      </c>
      <c r="K32" s="1" t="s">
        <v>2013</v>
      </c>
      <c r="L32" s="12">
        <f>services_weekly[[#This Row],[patients_admitted]]/services_weekly[[#This Row],[available_beds]]</f>
        <v>1</v>
      </c>
    </row>
    <row r="33" spans="2:12" x14ac:dyDescent="0.25">
      <c r="B33">
        <v>8</v>
      </c>
      <c r="C33">
        <v>2</v>
      </c>
      <c r="D33" s="1" t="s">
        <v>20</v>
      </c>
      <c r="E33">
        <v>12</v>
      </c>
      <c r="F33">
        <v>10</v>
      </c>
      <c r="G33">
        <v>10</v>
      </c>
      <c r="H33">
        <v>0</v>
      </c>
      <c r="I33">
        <v>76</v>
      </c>
      <c r="J33">
        <v>98</v>
      </c>
      <c r="K33" s="1" t="s">
        <v>2013</v>
      </c>
      <c r="L33" s="13">
        <f>services_weekly[[#This Row],[patients_admitted]]/services_weekly[[#This Row],[available_beds]]</f>
        <v>0.83333333333333337</v>
      </c>
    </row>
    <row r="34" spans="2:12" x14ac:dyDescent="0.25">
      <c r="B34">
        <v>9</v>
      </c>
      <c r="C34">
        <v>3</v>
      </c>
      <c r="D34" s="1" t="s">
        <v>17</v>
      </c>
      <c r="E34">
        <v>28</v>
      </c>
      <c r="F34">
        <v>113</v>
      </c>
      <c r="G34">
        <v>28</v>
      </c>
      <c r="H34">
        <v>85</v>
      </c>
      <c r="I34">
        <v>82</v>
      </c>
      <c r="J34">
        <v>86</v>
      </c>
      <c r="K34" s="1" t="s">
        <v>2013</v>
      </c>
      <c r="L34" s="12">
        <f>services_weekly[[#This Row],[patients_admitted]]/services_weekly[[#This Row],[available_beds]]</f>
        <v>1</v>
      </c>
    </row>
    <row r="35" spans="2:12" x14ac:dyDescent="0.25">
      <c r="B35">
        <v>9</v>
      </c>
      <c r="C35">
        <v>3</v>
      </c>
      <c r="D35" s="1" t="s">
        <v>9</v>
      </c>
      <c r="E35">
        <v>22</v>
      </c>
      <c r="F35">
        <v>41</v>
      </c>
      <c r="G35">
        <v>22</v>
      </c>
      <c r="H35">
        <v>19</v>
      </c>
      <c r="I35">
        <v>61</v>
      </c>
      <c r="J35">
        <v>93</v>
      </c>
      <c r="K35" s="1" t="s">
        <v>2013</v>
      </c>
      <c r="L35" s="13">
        <f>services_weekly[[#This Row],[patients_admitted]]/services_weekly[[#This Row],[available_beds]]</f>
        <v>1</v>
      </c>
    </row>
    <row r="36" spans="2:12" x14ac:dyDescent="0.25">
      <c r="B36">
        <v>9</v>
      </c>
      <c r="C36">
        <v>3</v>
      </c>
      <c r="D36" s="1" t="s">
        <v>14</v>
      </c>
      <c r="E36">
        <v>38</v>
      </c>
      <c r="F36">
        <v>78</v>
      </c>
      <c r="G36">
        <v>38</v>
      </c>
      <c r="H36">
        <v>40</v>
      </c>
      <c r="I36">
        <v>63</v>
      </c>
      <c r="J36">
        <v>60</v>
      </c>
      <c r="K36" s="1" t="s">
        <v>2013</v>
      </c>
      <c r="L36" s="12">
        <f>services_weekly[[#This Row],[patients_admitted]]/services_weekly[[#This Row],[available_beds]]</f>
        <v>1</v>
      </c>
    </row>
    <row r="37" spans="2:12" x14ac:dyDescent="0.25">
      <c r="B37">
        <v>9</v>
      </c>
      <c r="C37">
        <v>3</v>
      </c>
      <c r="D37" s="1" t="s">
        <v>20</v>
      </c>
      <c r="E37">
        <v>11</v>
      </c>
      <c r="F37">
        <v>20</v>
      </c>
      <c r="G37">
        <v>11</v>
      </c>
      <c r="H37">
        <v>9</v>
      </c>
      <c r="I37">
        <v>97</v>
      </c>
      <c r="J37">
        <v>73</v>
      </c>
      <c r="K37" s="1" t="s">
        <v>2013</v>
      </c>
      <c r="L37" s="13">
        <f>services_weekly[[#This Row],[patients_admitted]]/services_weekly[[#This Row],[available_beds]]</f>
        <v>1</v>
      </c>
    </row>
    <row r="38" spans="2:12" x14ac:dyDescent="0.25">
      <c r="B38">
        <v>10</v>
      </c>
      <c r="C38">
        <v>3</v>
      </c>
      <c r="D38" s="1" t="s">
        <v>17</v>
      </c>
      <c r="E38">
        <v>17</v>
      </c>
      <c r="F38">
        <v>130</v>
      </c>
      <c r="G38">
        <v>17</v>
      </c>
      <c r="H38">
        <v>113</v>
      </c>
      <c r="I38">
        <v>81</v>
      </c>
      <c r="J38">
        <v>60</v>
      </c>
      <c r="K38" s="1" t="s">
        <v>2013</v>
      </c>
      <c r="L38" s="12">
        <f>services_weekly[[#This Row],[patients_admitted]]/services_weekly[[#This Row],[available_beds]]</f>
        <v>1</v>
      </c>
    </row>
    <row r="39" spans="2:12" x14ac:dyDescent="0.25">
      <c r="B39">
        <v>10</v>
      </c>
      <c r="C39">
        <v>3</v>
      </c>
      <c r="D39" s="1" t="s">
        <v>9</v>
      </c>
      <c r="E39">
        <v>38</v>
      </c>
      <c r="F39">
        <v>57</v>
      </c>
      <c r="G39">
        <v>38</v>
      </c>
      <c r="H39">
        <v>19</v>
      </c>
      <c r="I39">
        <v>68</v>
      </c>
      <c r="J39">
        <v>55</v>
      </c>
      <c r="K39" s="1" t="s">
        <v>2013</v>
      </c>
      <c r="L39" s="13">
        <f>services_weekly[[#This Row],[patients_admitted]]/services_weekly[[#This Row],[available_beds]]</f>
        <v>1</v>
      </c>
    </row>
    <row r="40" spans="2:12" x14ac:dyDescent="0.25">
      <c r="B40">
        <v>10</v>
      </c>
      <c r="C40">
        <v>3</v>
      </c>
      <c r="D40" s="1" t="s">
        <v>14</v>
      </c>
      <c r="E40">
        <v>35</v>
      </c>
      <c r="F40">
        <v>64</v>
      </c>
      <c r="G40">
        <v>35</v>
      </c>
      <c r="H40">
        <v>29</v>
      </c>
      <c r="I40">
        <v>95</v>
      </c>
      <c r="J40">
        <v>68</v>
      </c>
      <c r="K40" s="1" t="s">
        <v>2013</v>
      </c>
      <c r="L40" s="12">
        <f>services_weekly[[#This Row],[patients_admitted]]/services_weekly[[#This Row],[available_beds]]</f>
        <v>1</v>
      </c>
    </row>
    <row r="41" spans="2:12" x14ac:dyDescent="0.25">
      <c r="B41">
        <v>10</v>
      </c>
      <c r="C41">
        <v>3</v>
      </c>
      <c r="D41" s="1" t="s">
        <v>20</v>
      </c>
      <c r="E41">
        <v>13</v>
      </c>
      <c r="F41">
        <v>8</v>
      </c>
      <c r="G41">
        <v>8</v>
      </c>
      <c r="H41">
        <v>0</v>
      </c>
      <c r="I41">
        <v>91</v>
      </c>
      <c r="J41">
        <v>56</v>
      </c>
      <c r="K41" s="1" t="s">
        <v>2013</v>
      </c>
      <c r="L41" s="13">
        <f>services_weekly[[#This Row],[patients_admitted]]/services_weekly[[#This Row],[available_beds]]</f>
        <v>0.61538461538461542</v>
      </c>
    </row>
    <row r="42" spans="2:12" x14ac:dyDescent="0.25">
      <c r="B42">
        <v>11</v>
      </c>
      <c r="C42">
        <v>3</v>
      </c>
      <c r="D42" s="1" t="s">
        <v>17</v>
      </c>
      <c r="E42">
        <v>16</v>
      </c>
      <c r="F42">
        <v>97</v>
      </c>
      <c r="G42">
        <v>16</v>
      </c>
      <c r="H42">
        <v>81</v>
      </c>
      <c r="I42">
        <v>98</v>
      </c>
      <c r="J42">
        <v>72</v>
      </c>
      <c r="K42" s="1" t="s">
        <v>2015</v>
      </c>
      <c r="L42" s="12">
        <f>services_weekly[[#This Row],[patients_admitted]]/services_weekly[[#This Row],[available_beds]]</f>
        <v>1</v>
      </c>
    </row>
    <row r="43" spans="2:12" x14ac:dyDescent="0.25">
      <c r="B43">
        <v>11</v>
      </c>
      <c r="C43">
        <v>3</v>
      </c>
      <c r="D43" s="1" t="s">
        <v>9</v>
      </c>
      <c r="E43">
        <v>48</v>
      </c>
      <c r="F43">
        <v>48</v>
      </c>
      <c r="G43">
        <v>48</v>
      </c>
      <c r="H43">
        <v>0</v>
      </c>
      <c r="I43">
        <v>82</v>
      </c>
      <c r="J43">
        <v>80</v>
      </c>
      <c r="K43" s="1" t="s">
        <v>2013</v>
      </c>
      <c r="L43" s="13">
        <f>services_weekly[[#This Row],[patients_admitted]]/services_weekly[[#This Row],[available_beds]]</f>
        <v>1</v>
      </c>
    </row>
    <row r="44" spans="2:12" x14ac:dyDescent="0.25">
      <c r="B44">
        <v>11</v>
      </c>
      <c r="C44">
        <v>3</v>
      </c>
      <c r="D44" s="1" t="s">
        <v>14</v>
      </c>
      <c r="E44">
        <v>35</v>
      </c>
      <c r="F44">
        <v>50</v>
      </c>
      <c r="G44">
        <v>35</v>
      </c>
      <c r="H44">
        <v>15</v>
      </c>
      <c r="I44">
        <v>75</v>
      </c>
      <c r="J44">
        <v>75</v>
      </c>
      <c r="K44" s="1" t="s">
        <v>2013</v>
      </c>
      <c r="L44" s="12">
        <f>services_weekly[[#This Row],[patients_admitted]]/services_weekly[[#This Row],[available_beds]]</f>
        <v>1</v>
      </c>
    </row>
    <row r="45" spans="2:12" x14ac:dyDescent="0.25">
      <c r="B45">
        <v>11</v>
      </c>
      <c r="C45">
        <v>3</v>
      </c>
      <c r="D45" s="1" t="s">
        <v>20</v>
      </c>
      <c r="E45">
        <v>14</v>
      </c>
      <c r="F45">
        <v>17</v>
      </c>
      <c r="G45">
        <v>14</v>
      </c>
      <c r="H45">
        <v>3</v>
      </c>
      <c r="I45">
        <v>61</v>
      </c>
      <c r="J45">
        <v>50</v>
      </c>
      <c r="K45" s="1" t="s">
        <v>2013</v>
      </c>
      <c r="L45" s="13">
        <f>services_weekly[[#This Row],[patients_admitted]]/services_weekly[[#This Row],[available_beds]]</f>
        <v>1</v>
      </c>
    </row>
    <row r="46" spans="2:12" x14ac:dyDescent="0.25">
      <c r="B46">
        <v>12</v>
      </c>
      <c r="C46">
        <v>3</v>
      </c>
      <c r="D46" s="1" t="s">
        <v>17</v>
      </c>
      <c r="E46">
        <v>28</v>
      </c>
      <c r="F46">
        <v>347</v>
      </c>
      <c r="G46">
        <v>28</v>
      </c>
      <c r="H46">
        <v>319</v>
      </c>
      <c r="I46">
        <v>68</v>
      </c>
      <c r="J46">
        <v>83</v>
      </c>
      <c r="K46" s="1" t="s">
        <v>2014</v>
      </c>
      <c r="L46" s="12">
        <f>services_weekly[[#This Row],[patients_admitted]]/services_weekly[[#This Row],[available_beds]]</f>
        <v>1</v>
      </c>
    </row>
    <row r="47" spans="2:12" x14ac:dyDescent="0.25">
      <c r="B47">
        <v>12</v>
      </c>
      <c r="C47">
        <v>3</v>
      </c>
      <c r="D47" s="1" t="s">
        <v>9</v>
      </c>
      <c r="E47">
        <v>38</v>
      </c>
      <c r="F47">
        <v>24</v>
      </c>
      <c r="G47">
        <v>24</v>
      </c>
      <c r="H47">
        <v>0</v>
      </c>
      <c r="I47">
        <v>79</v>
      </c>
      <c r="J47">
        <v>73</v>
      </c>
      <c r="K47" s="1" t="s">
        <v>2013</v>
      </c>
      <c r="L47" s="13">
        <f>services_weekly[[#This Row],[patients_admitted]]/services_weekly[[#This Row],[available_beds]]</f>
        <v>0.63157894736842102</v>
      </c>
    </row>
    <row r="48" spans="2:12" x14ac:dyDescent="0.25">
      <c r="B48">
        <v>12</v>
      </c>
      <c r="C48">
        <v>3</v>
      </c>
      <c r="D48" s="1" t="s">
        <v>14</v>
      </c>
      <c r="E48">
        <v>33</v>
      </c>
      <c r="F48">
        <v>69</v>
      </c>
      <c r="G48">
        <v>33</v>
      </c>
      <c r="H48">
        <v>36</v>
      </c>
      <c r="I48">
        <v>70</v>
      </c>
      <c r="J48">
        <v>98</v>
      </c>
      <c r="K48" s="1" t="s">
        <v>2013</v>
      </c>
      <c r="L48" s="12">
        <f>services_weekly[[#This Row],[patients_admitted]]/services_weekly[[#This Row],[available_beds]]</f>
        <v>1</v>
      </c>
    </row>
    <row r="49" spans="2:12" x14ac:dyDescent="0.25">
      <c r="B49">
        <v>12</v>
      </c>
      <c r="C49">
        <v>3</v>
      </c>
      <c r="D49" s="1" t="s">
        <v>20</v>
      </c>
      <c r="E49">
        <v>16</v>
      </c>
      <c r="F49">
        <v>13</v>
      </c>
      <c r="G49">
        <v>13</v>
      </c>
      <c r="H49">
        <v>0</v>
      </c>
      <c r="I49">
        <v>79</v>
      </c>
      <c r="J49">
        <v>94</v>
      </c>
      <c r="K49" s="1" t="s">
        <v>2015</v>
      </c>
      <c r="L49" s="13">
        <f>services_weekly[[#This Row],[patients_admitted]]/services_weekly[[#This Row],[available_beds]]</f>
        <v>0.8125</v>
      </c>
    </row>
    <row r="50" spans="2:12" x14ac:dyDescent="0.25">
      <c r="B50">
        <v>13</v>
      </c>
      <c r="C50">
        <v>4</v>
      </c>
      <c r="D50" s="1" t="s">
        <v>17</v>
      </c>
      <c r="E50">
        <v>23</v>
      </c>
      <c r="F50">
        <v>142</v>
      </c>
      <c r="G50">
        <v>23</v>
      </c>
      <c r="H50">
        <v>119</v>
      </c>
      <c r="I50">
        <v>77</v>
      </c>
      <c r="J50">
        <v>95</v>
      </c>
      <c r="K50" s="1" t="s">
        <v>2013</v>
      </c>
      <c r="L50" s="12">
        <f>services_weekly[[#This Row],[patients_admitted]]/services_weekly[[#This Row],[available_beds]]</f>
        <v>1</v>
      </c>
    </row>
    <row r="51" spans="2:12" x14ac:dyDescent="0.25">
      <c r="B51">
        <v>13</v>
      </c>
      <c r="C51">
        <v>4</v>
      </c>
      <c r="D51" s="1" t="s">
        <v>9</v>
      </c>
      <c r="E51">
        <v>41</v>
      </c>
      <c r="F51">
        <v>54</v>
      </c>
      <c r="G51">
        <v>41</v>
      </c>
      <c r="H51">
        <v>13</v>
      </c>
      <c r="I51">
        <v>75</v>
      </c>
      <c r="J51">
        <v>90</v>
      </c>
      <c r="K51" s="1" t="s">
        <v>2013</v>
      </c>
      <c r="L51" s="13">
        <f>services_weekly[[#This Row],[patients_admitted]]/services_weekly[[#This Row],[available_beds]]</f>
        <v>1</v>
      </c>
    </row>
    <row r="52" spans="2:12" x14ac:dyDescent="0.25">
      <c r="B52">
        <v>13</v>
      </c>
      <c r="C52">
        <v>4</v>
      </c>
      <c r="D52" s="1" t="s">
        <v>14</v>
      </c>
      <c r="E52">
        <v>33</v>
      </c>
      <c r="F52">
        <v>72</v>
      </c>
      <c r="G52">
        <v>33</v>
      </c>
      <c r="H52">
        <v>39</v>
      </c>
      <c r="I52">
        <v>73</v>
      </c>
      <c r="J52">
        <v>70</v>
      </c>
      <c r="K52" s="1" t="s">
        <v>2013</v>
      </c>
      <c r="L52" s="12">
        <f>services_weekly[[#This Row],[patients_admitted]]/services_weekly[[#This Row],[available_beds]]</f>
        <v>1</v>
      </c>
    </row>
    <row r="53" spans="2:12" x14ac:dyDescent="0.25">
      <c r="B53">
        <v>13</v>
      </c>
      <c r="C53">
        <v>4</v>
      </c>
      <c r="D53" s="1" t="s">
        <v>20</v>
      </c>
      <c r="E53">
        <v>17</v>
      </c>
      <c r="F53">
        <v>12</v>
      </c>
      <c r="G53">
        <v>12</v>
      </c>
      <c r="H53">
        <v>0</v>
      </c>
      <c r="I53">
        <v>66</v>
      </c>
      <c r="J53">
        <v>52</v>
      </c>
      <c r="K53" s="1" t="s">
        <v>2013</v>
      </c>
      <c r="L53" s="13">
        <f>services_weekly[[#This Row],[patients_admitted]]/services_weekly[[#This Row],[available_beds]]</f>
        <v>0.70588235294117652</v>
      </c>
    </row>
    <row r="54" spans="2:12" x14ac:dyDescent="0.25">
      <c r="B54">
        <v>14</v>
      </c>
      <c r="C54">
        <v>4</v>
      </c>
      <c r="D54" s="1" t="s">
        <v>17</v>
      </c>
      <c r="E54">
        <v>15</v>
      </c>
      <c r="F54">
        <v>97</v>
      </c>
      <c r="G54">
        <v>15</v>
      </c>
      <c r="H54">
        <v>82</v>
      </c>
      <c r="I54">
        <v>71</v>
      </c>
      <c r="J54">
        <v>71</v>
      </c>
      <c r="K54" s="1" t="s">
        <v>2013</v>
      </c>
      <c r="L54" s="12">
        <f>services_weekly[[#This Row],[patients_admitted]]/services_weekly[[#This Row],[available_beds]]</f>
        <v>1</v>
      </c>
    </row>
    <row r="55" spans="2:12" x14ac:dyDescent="0.25">
      <c r="B55">
        <v>14</v>
      </c>
      <c r="C55">
        <v>4</v>
      </c>
      <c r="D55" s="1" t="s">
        <v>9</v>
      </c>
      <c r="E55">
        <v>33</v>
      </c>
      <c r="F55">
        <v>49</v>
      </c>
      <c r="G55">
        <v>33</v>
      </c>
      <c r="H55">
        <v>16</v>
      </c>
      <c r="I55">
        <v>97</v>
      </c>
      <c r="J55">
        <v>87</v>
      </c>
      <c r="K55" s="1" t="s">
        <v>2013</v>
      </c>
      <c r="L55" s="13">
        <f>services_weekly[[#This Row],[patients_admitted]]/services_weekly[[#This Row],[available_beds]]</f>
        <v>1</v>
      </c>
    </row>
    <row r="56" spans="2:12" x14ac:dyDescent="0.25">
      <c r="B56">
        <v>14</v>
      </c>
      <c r="C56">
        <v>4</v>
      </c>
      <c r="D56" s="1" t="s">
        <v>14</v>
      </c>
      <c r="E56">
        <v>51</v>
      </c>
      <c r="F56">
        <v>47</v>
      </c>
      <c r="G56">
        <v>47</v>
      </c>
      <c r="H56">
        <v>0</v>
      </c>
      <c r="I56">
        <v>86</v>
      </c>
      <c r="J56">
        <v>76</v>
      </c>
      <c r="K56" s="1" t="s">
        <v>2013</v>
      </c>
      <c r="L56" s="12">
        <f>services_weekly[[#This Row],[patients_admitted]]/services_weekly[[#This Row],[available_beds]]</f>
        <v>0.92156862745098034</v>
      </c>
    </row>
    <row r="57" spans="2:12" x14ac:dyDescent="0.25">
      <c r="B57">
        <v>14</v>
      </c>
      <c r="C57">
        <v>4</v>
      </c>
      <c r="D57" s="1" t="s">
        <v>20</v>
      </c>
      <c r="E57">
        <v>10</v>
      </c>
      <c r="F57">
        <v>16</v>
      </c>
      <c r="G57">
        <v>10</v>
      </c>
      <c r="H57">
        <v>6</v>
      </c>
      <c r="I57">
        <v>92</v>
      </c>
      <c r="J57">
        <v>54</v>
      </c>
      <c r="K57" s="1" t="s">
        <v>2013</v>
      </c>
      <c r="L57" s="13">
        <f>services_weekly[[#This Row],[patients_admitted]]/services_weekly[[#This Row],[available_beds]]</f>
        <v>1</v>
      </c>
    </row>
    <row r="58" spans="2:12" x14ac:dyDescent="0.25">
      <c r="B58">
        <v>15</v>
      </c>
      <c r="C58">
        <v>4</v>
      </c>
      <c r="D58" s="1" t="s">
        <v>17</v>
      </c>
      <c r="E58">
        <v>17</v>
      </c>
      <c r="F58">
        <v>53</v>
      </c>
      <c r="G58">
        <v>17</v>
      </c>
      <c r="H58">
        <v>36</v>
      </c>
      <c r="I58">
        <v>94</v>
      </c>
      <c r="J58">
        <v>98</v>
      </c>
      <c r="K58" s="1" t="s">
        <v>2013</v>
      </c>
      <c r="L58" s="12">
        <f>services_weekly[[#This Row],[patients_admitted]]/services_weekly[[#This Row],[available_beds]]</f>
        <v>1</v>
      </c>
    </row>
    <row r="59" spans="2:12" x14ac:dyDescent="0.25">
      <c r="B59">
        <v>15</v>
      </c>
      <c r="C59">
        <v>4</v>
      </c>
      <c r="D59" s="1" t="s">
        <v>9</v>
      </c>
      <c r="E59">
        <v>31</v>
      </c>
      <c r="F59">
        <v>124</v>
      </c>
      <c r="G59">
        <v>31</v>
      </c>
      <c r="H59">
        <v>93</v>
      </c>
      <c r="I59">
        <v>65</v>
      </c>
      <c r="J59">
        <v>76</v>
      </c>
      <c r="K59" s="1" t="s">
        <v>2014</v>
      </c>
      <c r="L59" s="13">
        <f>services_weekly[[#This Row],[patients_admitted]]/services_weekly[[#This Row],[available_beds]]</f>
        <v>1</v>
      </c>
    </row>
    <row r="60" spans="2:12" x14ac:dyDescent="0.25">
      <c r="B60">
        <v>15</v>
      </c>
      <c r="C60">
        <v>4</v>
      </c>
      <c r="D60" s="1" t="s">
        <v>14</v>
      </c>
      <c r="E60">
        <v>53</v>
      </c>
      <c r="F60">
        <v>179</v>
      </c>
      <c r="G60">
        <v>53</v>
      </c>
      <c r="H60">
        <v>126</v>
      </c>
      <c r="I60">
        <v>90</v>
      </c>
      <c r="J60">
        <v>76</v>
      </c>
      <c r="K60" s="1" t="s">
        <v>2014</v>
      </c>
      <c r="L60" s="12">
        <f>services_weekly[[#This Row],[patients_admitted]]/services_weekly[[#This Row],[available_beds]]</f>
        <v>1</v>
      </c>
    </row>
    <row r="61" spans="2:12" x14ac:dyDescent="0.25">
      <c r="B61">
        <v>15</v>
      </c>
      <c r="C61">
        <v>4</v>
      </c>
      <c r="D61" s="1" t="s">
        <v>20</v>
      </c>
      <c r="E61">
        <v>14</v>
      </c>
      <c r="F61">
        <v>11</v>
      </c>
      <c r="G61">
        <v>11</v>
      </c>
      <c r="H61">
        <v>0</v>
      </c>
      <c r="I61">
        <v>92</v>
      </c>
      <c r="J61">
        <v>52</v>
      </c>
      <c r="K61" s="1" t="s">
        <v>2013</v>
      </c>
      <c r="L61" s="13">
        <f>services_weekly[[#This Row],[patients_admitted]]/services_weekly[[#This Row],[available_beds]]</f>
        <v>0.7857142857142857</v>
      </c>
    </row>
    <row r="62" spans="2:12" x14ac:dyDescent="0.25">
      <c r="B62">
        <v>16</v>
      </c>
      <c r="C62">
        <v>4</v>
      </c>
      <c r="D62" s="1" t="s">
        <v>17</v>
      </c>
      <c r="E62">
        <v>23</v>
      </c>
      <c r="F62">
        <v>144</v>
      </c>
      <c r="G62">
        <v>23</v>
      </c>
      <c r="H62">
        <v>121</v>
      </c>
      <c r="I62">
        <v>62</v>
      </c>
      <c r="J62">
        <v>89</v>
      </c>
      <c r="K62" s="1" t="s">
        <v>2013</v>
      </c>
      <c r="L62" s="12">
        <f>services_weekly[[#This Row],[patients_admitted]]/services_weekly[[#This Row],[available_beds]]</f>
        <v>1</v>
      </c>
    </row>
    <row r="63" spans="2:12" x14ac:dyDescent="0.25">
      <c r="B63">
        <v>16</v>
      </c>
      <c r="C63">
        <v>4</v>
      </c>
      <c r="D63" s="1" t="s">
        <v>9</v>
      </c>
      <c r="E63">
        <v>37</v>
      </c>
      <c r="F63">
        <v>28</v>
      </c>
      <c r="G63">
        <v>28</v>
      </c>
      <c r="H63">
        <v>0</v>
      </c>
      <c r="I63">
        <v>82</v>
      </c>
      <c r="J63">
        <v>31</v>
      </c>
      <c r="K63" s="1" t="s">
        <v>2016</v>
      </c>
      <c r="L63" s="13">
        <f>services_weekly[[#This Row],[patients_admitted]]/services_weekly[[#This Row],[available_beds]]</f>
        <v>0.7567567567567568</v>
      </c>
    </row>
    <row r="64" spans="2:12" x14ac:dyDescent="0.25">
      <c r="B64">
        <v>16</v>
      </c>
      <c r="C64">
        <v>4</v>
      </c>
      <c r="D64" s="1" t="s">
        <v>14</v>
      </c>
      <c r="E64">
        <v>39</v>
      </c>
      <c r="F64">
        <v>41</v>
      </c>
      <c r="G64">
        <v>39</v>
      </c>
      <c r="H64">
        <v>2</v>
      </c>
      <c r="I64">
        <v>85</v>
      </c>
      <c r="J64">
        <v>66</v>
      </c>
      <c r="K64" s="1" t="s">
        <v>2013</v>
      </c>
      <c r="L64" s="12">
        <f>services_weekly[[#This Row],[patients_admitted]]/services_weekly[[#This Row],[available_beds]]</f>
        <v>1</v>
      </c>
    </row>
    <row r="65" spans="2:12" x14ac:dyDescent="0.25">
      <c r="B65">
        <v>16</v>
      </c>
      <c r="C65">
        <v>4</v>
      </c>
      <c r="D65" s="1" t="s">
        <v>20</v>
      </c>
      <c r="E65">
        <v>18</v>
      </c>
      <c r="F65">
        <v>15</v>
      </c>
      <c r="G65">
        <v>15</v>
      </c>
      <c r="H65">
        <v>0</v>
      </c>
      <c r="I65">
        <v>98</v>
      </c>
      <c r="J65">
        <v>78</v>
      </c>
      <c r="K65" s="1" t="s">
        <v>2013</v>
      </c>
      <c r="L65" s="13">
        <f>services_weekly[[#This Row],[patients_admitted]]/services_weekly[[#This Row],[available_beds]]</f>
        <v>0.83333333333333337</v>
      </c>
    </row>
    <row r="66" spans="2:12" x14ac:dyDescent="0.25">
      <c r="B66">
        <v>17</v>
      </c>
      <c r="C66">
        <v>5</v>
      </c>
      <c r="D66" s="1" t="s">
        <v>17</v>
      </c>
      <c r="E66">
        <v>21</v>
      </c>
      <c r="F66">
        <v>133</v>
      </c>
      <c r="G66">
        <v>21</v>
      </c>
      <c r="H66">
        <v>112</v>
      </c>
      <c r="I66">
        <v>84</v>
      </c>
      <c r="J66">
        <v>73</v>
      </c>
      <c r="K66" s="1" t="s">
        <v>2013</v>
      </c>
      <c r="L66" s="12">
        <f>services_weekly[[#This Row],[patients_admitted]]/services_weekly[[#This Row],[available_beds]]</f>
        <v>1</v>
      </c>
    </row>
    <row r="67" spans="2:12" x14ac:dyDescent="0.25">
      <c r="B67">
        <v>17</v>
      </c>
      <c r="C67">
        <v>5</v>
      </c>
      <c r="D67" s="1" t="s">
        <v>9</v>
      </c>
      <c r="E67">
        <v>40</v>
      </c>
      <c r="F67">
        <v>23</v>
      </c>
      <c r="G67">
        <v>23</v>
      </c>
      <c r="H67">
        <v>0</v>
      </c>
      <c r="I67">
        <v>95</v>
      </c>
      <c r="J67">
        <v>94</v>
      </c>
      <c r="K67" s="1" t="s">
        <v>2013</v>
      </c>
      <c r="L67" s="13">
        <f>services_weekly[[#This Row],[patients_admitted]]/services_weekly[[#This Row],[available_beds]]</f>
        <v>0.57499999999999996</v>
      </c>
    </row>
    <row r="68" spans="2:12" x14ac:dyDescent="0.25">
      <c r="B68">
        <v>17</v>
      </c>
      <c r="C68">
        <v>5</v>
      </c>
      <c r="D68" s="1" t="s">
        <v>14</v>
      </c>
      <c r="E68">
        <v>33</v>
      </c>
      <c r="F68">
        <v>76</v>
      </c>
      <c r="G68">
        <v>33</v>
      </c>
      <c r="H68">
        <v>43</v>
      </c>
      <c r="I68">
        <v>75</v>
      </c>
      <c r="J68">
        <v>63</v>
      </c>
      <c r="K68" s="1" t="s">
        <v>2013</v>
      </c>
      <c r="L68" s="12">
        <f>services_weekly[[#This Row],[patients_admitted]]/services_weekly[[#This Row],[available_beds]]</f>
        <v>1</v>
      </c>
    </row>
    <row r="69" spans="2:12" x14ac:dyDescent="0.25">
      <c r="B69">
        <v>17</v>
      </c>
      <c r="C69">
        <v>5</v>
      </c>
      <c r="D69" s="1" t="s">
        <v>20</v>
      </c>
      <c r="E69">
        <v>14</v>
      </c>
      <c r="F69">
        <v>17</v>
      </c>
      <c r="G69">
        <v>14</v>
      </c>
      <c r="H69">
        <v>3</v>
      </c>
      <c r="I69">
        <v>87</v>
      </c>
      <c r="J69">
        <v>83</v>
      </c>
      <c r="K69" s="1" t="s">
        <v>2013</v>
      </c>
      <c r="L69" s="13">
        <f>services_weekly[[#This Row],[patients_admitted]]/services_weekly[[#This Row],[available_beds]]</f>
        <v>1</v>
      </c>
    </row>
    <row r="70" spans="2:12" x14ac:dyDescent="0.25">
      <c r="B70">
        <v>18</v>
      </c>
      <c r="C70">
        <v>5</v>
      </c>
      <c r="D70" s="1" t="s">
        <v>17</v>
      </c>
      <c r="E70">
        <v>18</v>
      </c>
      <c r="F70">
        <v>100</v>
      </c>
      <c r="G70">
        <v>18</v>
      </c>
      <c r="H70">
        <v>82</v>
      </c>
      <c r="I70">
        <v>81</v>
      </c>
      <c r="J70">
        <v>80</v>
      </c>
      <c r="K70" s="1" t="s">
        <v>2015</v>
      </c>
      <c r="L70" s="12">
        <f>services_weekly[[#This Row],[patients_admitted]]/services_weekly[[#This Row],[available_beds]]</f>
        <v>1</v>
      </c>
    </row>
    <row r="71" spans="2:12" x14ac:dyDescent="0.25">
      <c r="B71">
        <v>18</v>
      </c>
      <c r="C71">
        <v>5</v>
      </c>
      <c r="D71" s="1" t="s">
        <v>9</v>
      </c>
      <c r="E71">
        <v>43</v>
      </c>
      <c r="F71">
        <v>36</v>
      </c>
      <c r="G71">
        <v>36</v>
      </c>
      <c r="H71">
        <v>0</v>
      </c>
      <c r="I71">
        <v>81</v>
      </c>
      <c r="J71">
        <v>98</v>
      </c>
      <c r="K71" s="1" t="s">
        <v>2013</v>
      </c>
      <c r="L71" s="13">
        <f>services_weekly[[#This Row],[patients_admitted]]/services_weekly[[#This Row],[available_beds]]</f>
        <v>0.83720930232558144</v>
      </c>
    </row>
    <row r="72" spans="2:12" x14ac:dyDescent="0.25">
      <c r="B72">
        <v>18</v>
      </c>
      <c r="C72">
        <v>5</v>
      </c>
      <c r="D72" s="1" t="s">
        <v>14</v>
      </c>
      <c r="E72">
        <v>31</v>
      </c>
      <c r="F72">
        <v>25</v>
      </c>
      <c r="G72">
        <v>25</v>
      </c>
      <c r="H72">
        <v>0</v>
      </c>
      <c r="I72">
        <v>96</v>
      </c>
      <c r="J72">
        <v>62</v>
      </c>
      <c r="K72" s="1" t="s">
        <v>2016</v>
      </c>
      <c r="L72" s="12">
        <f>services_weekly[[#This Row],[patients_admitted]]/services_weekly[[#This Row],[available_beds]]</f>
        <v>0.80645161290322576</v>
      </c>
    </row>
    <row r="73" spans="2:12" x14ac:dyDescent="0.25">
      <c r="B73">
        <v>18</v>
      </c>
      <c r="C73">
        <v>5</v>
      </c>
      <c r="D73" s="1" t="s">
        <v>20</v>
      </c>
      <c r="E73">
        <v>12</v>
      </c>
      <c r="F73">
        <v>9</v>
      </c>
      <c r="G73">
        <v>9</v>
      </c>
      <c r="H73">
        <v>0</v>
      </c>
      <c r="I73">
        <v>63</v>
      </c>
      <c r="J73">
        <v>55</v>
      </c>
      <c r="K73" s="1" t="s">
        <v>2013</v>
      </c>
      <c r="L73" s="13">
        <f>services_weekly[[#This Row],[patients_admitted]]/services_weekly[[#This Row],[available_beds]]</f>
        <v>0.75</v>
      </c>
    </row>
    <row r="74" spans="2:12" x14ac:dyDescent="0.25">
      <c r="B74">
        <v>19</v>
      </c>
      <c r="C74">
        <v>5</v>
      </c>
      <c r="D74" s="1" t="s">
        <v>17</v>
      </c>
      <c r="E74">
        <v>16</v>
      </c>
      <c r="F74">
        <v>70</v>
      </c>
      <c r="G74">
        <v>16</v>
      </c>
      <c r="H74">
        <v>54</v>
      </c>
      <c r="I74">
        <v>99</v>
      </c>
      <c r="J74">
        <v>45</v>
      </c>
      <c r="K74" s="1" t="s">
        <v>2016</v>
      </c>
      <c r="L74" s="12">
        <f>services_weekly[[#This Row],[patients_admitted]]/services_weekly[[#This Row],[available_beds]]</f>
        <v>1</v>
      </c>
    </row>
    <row r="75" spans="2:12" x14ac:dyDescent="0.25">
      <c r="B75">
        <v>19</v>
      </c>
      <c r="C75">
        <v>5</v>
      </c>
      <c r="D75" s="1" t="s">
        <v>9</v>
      </c>
      <c r="E75">
        <v>42</v>
      </c>
      <c r="F75">
        <v>44</v>
      </c>
      <c r="G75">
        <v>42</v>
      </c>
      <c r="H75">
        <v>2</v>
      </c>
      <c r="I75">
        <v>78</v>
      </c>
      <c r="J75">
        <v>66</v>
      </c>
      <c r="K75" s="1" t="s">
        <v>2013</v>
      </c>
      <c r="L75" s="13">
        <f>services_weekly[[#This Row],[patients_admitted]]/services_weekly[[#This Row],[available_beds]]</f>
        <v>1</v>
      </c>
    </row>
    <row r="76" spans="2:12" x14ac:dyDescent="0.25">
      <c r="B76">
        <v>19</v>
      </c>
      <c r="C76">
        <v>5</v>
      </c>
      <c r="D76" s="1" t="s">
        <v>14</v>
      </c>
      <c r="E76">
        <v>43</v>
      </c>
      <c r="F76">
        <v>60</v>
      </c>
      <c r="G76">
        <v>43</v>
      </c>
      <c r="H76">
        <v>17</v>
      </c>
      <c r="I76">
        <v>85</v>
      </c>
      <c r="J76">
        <v>86</v>
      </c>
      <c r="K76" s="1" t="s">
        <v>2013</v>
      </c>
      <c r="L76" s="12">
        <f>services_weekly[[#This Row],[patients_admitted]]/services_weekly[[#This Row],[available_beds]]</f>
        <v>1</v>
      </c>
    </row>
    <row r="77" spans="2:12" x14ac:dyDescent="0.25">
      <c r="B77">
        <v>19</v>
      </c>
      <c r="C77">
        <v>5</v>
      </c>
      <c r="D77" s="1" t="s">
        <v>20</v>
      </c>
      <c r="E77">
        <v>14</v>
      </c>
      <c r="F77">
        <v>17</v>
      </c>
      <c r="G77">
        <v>14</v>
      </c>
      <c r="H77">
        <v>3</v>
      </c>
      <c r="I77">
        <v>68</v>
      </c>
      <c r="J77">
        <v>61</v>
      </c>
      <c r="K77" s="1" t="s">
        <v>2013</v>
      </c>
      <c r="L77" s="13">
        <f>services_weekly[[#This Row],[patients_admitted]]/services_weekly[[#This Row],[available_beds]]</f>
        <v>1</v>
      </c>
    </row>
    <row r="78" spans="2:12" x14ac:dyDescent="0.25">
      <c r="B78">
        <v>20</v>
      </c>
      <c r="C78">
        <v>5</v>
      </c>
      <c r="D78" s="1" t="s">
        <v>17</v>
      </c>
      <c r="E78">
        <v>21</v>
      </c>
      <c r="F78">
        <v>45</v>
      </c>
      <c r="G78">
        <v>21</v>
      </c>
      <c r="H78">
        <v>24</v>
      </c>
      <c r="I78">
        <v>93</v>
      </c>
      <c r="J78">
        <v>81</v>
      </c>
      <c r="K78" s="1" t="s">
        <v>2013</v>
      </c>
      <c r="L78" s="12">
        <f>services_weekly[[#This Row],[patients_admitted]]/services_weekly[[#This Row],[available_beds]]</f>
        <v>1</v>
      </c>
    </row>
    <row r="79" spans="2:12" x14ac:dyDescent="0.25">
      <c r="B79">
        <v>20</v>
      </c>
      <c r="C79">
        <v>5</v>
      </c>
      <c r="D79" s="1" t="s">
        <v>9</v>
      </c>
      <c r="E79">
        <v>31</v>
      </c>
      <c r="F79">
        <v>39</v>
      </c>
      <c r="G79">
        <v>31</v>
      </c>
      <c r="H79">
        <v>8</v>
      </c>
      <c r="I79">
        <v>99</v>
      </c>
      <c r="J79">
        <v>94</v>
      </c>
      <c r="K79" s="1" t="s">
        <v>2013</v>
      </c>
      <c r="L79" s="13">
        <f>services_weekly[[#This Row],[patients_admitted]]/services_weekly[[#This Row],[available_beds]]</f>
        <v>1</v>
      </c>
    </row>
    <row r="80" spans="2:12" x14ac:dyDescent="0.25">
      <c r="B80">
        <v>20</v>
      </c>
      <c r="C80">
        <v>5</v>
      </c>
      <c r="D80" s="1" t="s">
        <v>14</v>
      </c>
      <c r="E80">
        <v>40</v>
      </c>
      <c r="F80">
        <v>70</v>
      </c>
      <c r="G80">
        <v>40</v>
      </c>
      <c r="H80">
        <v>30</v>
      </c>
      <c r="I80">
        <v>64</v>
      </c>
      <c r="J80">
        <v>71</v>
      </c>
      <c r="K80" s="1" t="s">
        <v>2013</v>
      </c>
      <c r="L80" s="12">
        <f>services_weekly[[#This Row],[patients_admitted]]/services_weekly[[#This Row],[available_beds]]</f>
        <v>1</v>
      </c>
    </row>
    <row r="81" spans="2:12" x14ac:dyDescent="0.25">
      <c r="B81">
        <v>20</v>
      </c>
      <c r="C81">
        <v>5</v>
      </c>
      <c r="D81" s="1" t="s">
        <v>20</v>
      </c>
      <c r="E81">
        <v>10</v>
      </c>
      <c r="F81">
        <v>14</v>
      </c>
      <c r="G81">
        <v>10</v>
      </c>
      <c r="H81">
        <v>4</v>
      </c>
      <c r="I81">
        <v>85</v>
      </c>
      <c r="J81">
        <v>65</v>
      </c>
      <c r="K81" s="1" t="s">
        <v>2013</v>
      </c>
      <c r="L81" s="13">
        <f>services_weekly[[#This Row],[patients_admitted]]/services_weekly[[#This Row],[available_beds]]</f>
        <v>1</v>
      </c>
    </row>
    <row r="82" spans="2:12" x14ac:dyDescent="0.25">
      <c r="B82">
        <v>21</v>
      </c>
      <c r="C82">
        <v>6</v>
      </c>
      <c r="D82" s="1" t="s">
        <v>17</v>
      </c>
      <c r="E82">
        <v>18</v>
      </c>
      <c r="F82">
        <v>95</v>
      </c>
      <c r="G82">
        <v>18</v>
      </c>
      <c r="H82">
        <v>77</v>
      </c>
      <c r="I82">
        <v>88</v>
      </c>
      <c r="J82">
        <v>63</v>
      </c>
      <c r="K82" s="1" t="s">
        <v>2013</v>
      </c>
      <c r="L82" s="12">
        <f>services_weekly[[#This Row],[patients_admitted]]/services_weekly[[#This Row],[available_beds]]</f>
        <v>1</v>
      </c>
    </row>
    <row r="83" spans="2:12" x14ac:dyDescent="0.25">
      <c r="B83">
        <v>21</v>
      </c>
      <c r="C83">
        <v>6</v>
      </c>
      <c r="D83" s="1" t="s">
        <v>9</v>
      </c>
      <c r="E83">
        <v>30</v>
      </c>
      <c r="F83">
        <v>44</v>
      </c>
      <c r="G83">
        <v>30</v>
      </c>
      <c r="H83">
        <v>14</v>
      </c>
      <c r="I83">
        <v>64</v>
      </c>
      <c r="J83">
        <v>67</v>
      </c>
      <c r="K83" s="1" t="s">
        <v>2015</v>
      </c>
      <c r="L83" s="13">
        <f>services_weekly[[#This Row],[patients_admitted]]/services_weekly[[#This Row],[available_beds]]</f>
        <v>1</v>
      </c>
    </row>
    <row r="84" spans="2:12" x14ac:dyDescent="0.25">
      <c r="B84">
        <v>21</v>
      </c>
      <c r="C84">
        <v>6</v>
      </c>
      <c r="D84" s="1" t="s">
        <v>14</v>
      </c>
      <c r="E84">
        <v>45</v>
      </c>
      <c r="F84">
        <v>70</v>
      </c>
      <c r="G84">
        <v>45</v>
      </c>
      <c r="H84">
        <v>25</v>
      </c>
      <c r="I84">
        <v>95</v>
      </c>
      <c r="J84">
        <v>82</v>
      </c>
      <c r="K84" s="1" t="s">
        <v>2013</v>
      </c>
      <c r="L84" s="12">
        <f>services_weekly[[#This Row],[patients_admitted]]/services_weekly[[#This Row],[available_beds]]</f>
        <v>1</v>
      </c>
    </row>
    <row r="85" spans="2:12" x14ac:dyDescent="0.25">
      <c r="B85">
        <v>21</v>
      </c>
      <c r="C85">
        <v>6</v>
      </c>
      <c r="D85" s="1" t="s">
        <v>20</v>
      </c>
      <c r="E85">
        <v>12</v>
      </c>
      <c r="F85">
        <v>9</v>
      </c>
      <c r="G85">
        <v>9</v>
      </c>
      <c r="H85">
        <v>0</v>
      </c>
      <c r="I85">
        <v>69</v>
      </c>
      <c r="J85">
        <v>54</v>
      </c>
      <c r="K85" s="1" t="s">
        <v>2013</v>
      </c>
      <c r="L85" s="13">
        <f>services_weekly[[#This Row],[patients_admitted]]/services_weekly[[#This Row],[available_beds]]</f>
        <v>0.75</v>
      </c>
    </row>
    <row r="86" spans="2:12" x14ac:dyDescent="0.25">
      <c r="B86">
        <v>22</v>
      </c>
      <c r="C86">
        <v>6</v>
      </c>
      <c r="D86" s="1" t="s">
        <v>17</v>
      </c>
      <c r="E86">
        <v>16</v>
      </c>
      <c r="F86">
        <v>129</v>
      </c>
      <c r="G86">
        <v>16</v>
      </c>
      <c r="H86">
        <v>113</v>
      </c>
      <c r="I86">
        <v>69</v>
      </c>
      <c r="J86">
        <v>68</v>
      </c>
      <c r="K86" s="1" t="s">
        <v>2013</v>
      </c>
      <c r="L86" s="12">
        <f>services_weekly[[#This Row],[patients_admitted]]/services_weekly[[#This Row],[available_beds]]</f>
        <v>1</v>
      </c>
    </row>
    <row r="87" spans="2:12" x14ac:dyDescent="0.25">
      <c r="B87">
        <v>22</v>
      </c>
      <c r="C87">
        <v>6</v>
      </c>
      <c r="D87" s="1" t="s">
        <v>9</v>
      </c>
      <c r="E87">
        <v>18</v>
      </c>
      <c r="F87">
        <v>21</v>
      </c>
      <c r="G87">
        <v>18</v>
      </c>
      <c r="H87">
        <v>3</v>
      </c>
      <c r="I87">
        <v>63</v>
      </c>
      <c r="J87">
        <v>65</v>
      </c>
      <c r="K87" s="1" t="s">
        <v>2013</v>
      </c>
      <c r="L87" s="13">
        <f>services_weekly[[#This Row],[patients_admitted]]/services_weekly[[#This Row],[available_beds]]</f>
        <v>1</v>
      </c>
    </row>
    <row r="88" spans="2:12" x14ac:dyDescent="0.25">
      <c r="B88">
        <v>22</v>
      </c>
      <c r="C88">
        <v>6</v>
      </c>
      <c r="D88" s="1" t="s">
        <v>14</v>
      </c>
      <c r="E88">
        <v>46</v>
      </c>
      <c r="F88">
        <v>36</v>
      </c>
      <c r="G88">
        <v>36</v>
      </c>
      <c r="H88">
        <v>0</v>
      </c>
      <c r="I88">
        <v>87</v>
      </c>
      <c r="J88">
        <v>88</v>
      </c>
      <c r="K88" s="1" t="s">
        <v>2015</v>
      </c>
      <c r="L88" s="12">
        <f>services_weekly[[#This Row],[patients_admitted]]/services_weekly[[#This Row],[available_beds]]</f>
        <v>0.78260869565217395</v>
      </c>
    </row>
    <row r="89" spans="2:12" x14ac:dyDescent="0.25">
      <c r="B89">
        <v>22</v>
      </c>
      <c r="C89">
        <v>6</v>
      </c>
      <c r="D89" s="1" t="s">
        <v>20</v>
      </c>
      <c r="E89">
        <v>9</v>
      </c>
      <c r="F89">
        <v>6</v>
      </c>
      <c r="G89">
        <v>6</v>
      </c>
      <c r="H89">
        <v>0</v>
      </c>
      <c r="I89">
        <v>92</v>
      </c>
      <c r="J89">
        <v>82</v>
      </c>
      <c r="K89" s="1" t="s">
        <v>2013</v>
      </c>
      <c r="L89" s="13">
        <f>services_weekly[[#This Row],[patients_admitted]]/services_weekly[[#This Row],[available_beds]]</f>
        <v>0.66666666666666663</v>
      </c>
    </row>
    <row r="90" spans="2:12" x14ac:dyDescent="0.25">
      <c r="B90">
        <v>23</v>
      </c>
      <c r="C90">
        <v>6</v>
      </c>
      <c r="D90" s="1" t="s">
        <v>17</v>
      </c>
      <c r="E90">
        <v>22</v>
      </c>
      <c r="F90">
        <v>54</v>
      </c>
      <c r="G90">
        <v>22</v>
      </c>
      <c r="H90">
        <v>32</v>
      </c>
      <c r="I90">
        <v>62</v>
      </c>
      <c r="J90">
        <v>50</v>
      </c>
      <c r="K90" s="1" t="s">
        <v>2013</v>
      </c>
      <c r="L90" s="12">
        <f>services_weekly[[#This Row],[patients_admitted]]/services_weekly[[#This Row],[available_beds]]</f>
        <v>1</v>
      </c>
    </row>
    <row r="91" spans="2:12" x14ac:dyDescent="0.25">
      <c r="B91">
        <v>23</v>
      </c>
      <c r="C91">
        <v>6</v>
      </c>
      <c r="D91" s="1" t="s">
        <v>9</v>
      </c>
      <c r="E91">
        <v>26</v>
      </c>
      <c r="F91">
        <v>43</v>
      </c>
      <c r="G91">
        <v>26</v>
      </c>
      <c r="H91">
        <v>17</v>
      </c>
      <c r="I91">
        <v>72</v>
      </c>
      <c r="J91">
        <v>61</v>
      </c>
      <c r="K91" s="1" t="s">
        <v>2013</v>
      </c>
      <c r="L91" s="13">
        <f>services_weekly[[#This Row],[patients_admitted]]/services_weekly[[#This Row],[available_beds]]</f>
        <v>1</v>
      </c>
    </row>
    <row r="92" spans="2:12" x14ac:dyDescent="0.25">
      <c r="B92">
        <v>23</v>
      </c>
      <c r="C92">
        <v>6</v>
      </c>
      <c r="D92" s="1" t="s">
        <v>14</v>
      </c>
      <c r="E92">
        <v>27</v>
      </c>
      <c r="F92">
        <v>81</v>
      </c>
      <c r="G92">
        <v>27</v>
      </c>
      <c r="H92">
        <v>54</v>
      </c>
      <c r="I92">
        <v>94</v>
      </c>
      <c r="J92">
        <v>77</v>
      </c>
      <c r="K92" s="1" t="s">
        <v>2015</v>
      </c>
      <c r="L92" s="12">
        <f>services_weekly[[#This Row],[patients_admitted]]/services_weekly[[#This Row],[available_beds]]</f>
        <v>1</v>
      </c>
    </row>
    <row r="93" spans="2:12" x14ac:dyDescent="0.25">
      <c r="B93">
        <v>23</v>
      </c>
      <c r="C93">
        <v>6</v>
      </c>
      <c r="D93" s="1" t="s">
        <v>20</v>
      </c>
      <c r="E93">
        <v>17</v>
      </c>
      <c r="F93">
        <v>12</v>
      </c>
      <c r="G93">
        <v>12</v>
      </c>
      <c r="H93">
        <v>0</v>
      </c>
      <c r="I93">
        <v>85</v>
      </c>
      <c r="J93">
        <v>83</v>
      </c>
      <c r="K93" s="1" t="s">
        <v>2013</v>
      </c>
      <c r="L93" s="13">
        <f>services_weekly[[#This Row],[patients_admitted]]/services_weekly[[#This Row],[available_beds]]</f>
        <v>0.70588235294117652</v>
      </c>
    </row>
    <row r="94" spans="2:12" x14ac:dyDescent="0.25">
      <c r="B94">
        <v>24</v>
      </c>
      <c r="C94">
        <v>6</v>
      </c>
      <c r="D94" s="1" t="s">
        <v>17</v>
      </c>
      <c r="E94">
        <v>18</v>
      </c>
      <c r="F94">
        <v>105</v>
      </c>
      <c r="G94">
        <v>18</v>
      </c>
      <c r="H94">
        <v>87</v>
      </c>
      <c r="I94">
        <v>70</v>
      </c>
      <c r="J94">
        <v>78</v>
      </c>
      <c r="K94" s="1" t="s">
        <v>2013</v>
      </c>
      <c r="L94" s="12">
        <f>services_weekly[[#This Row],[patients_admitted]]/services_weekly[[#This Row],[available_beds]]</f>
        <v>1</v>
      </c>
    </row>
    <row r="95" spans="2:12" x14ac:dyDescent="0.25">
      <c r="B95">
        <v>24</v>
      </c>
      <c r="C95">
        <v>6</v>
      </c>
      <c r="D95" s="1" t="s">
        <v>9</v>
      </c>
      <c r="E95">
        <v>39</v>
      </c>
      <c r="F95">
        <v>21</v>
      </c>
      <c r="G95">
        <v>21</v>
      </c>
      <c r="H95">
        <v>0</v>
      </c>
      <c r="I95">
        <v>95</v>
      </c>
      <c r="J95">
        <v>39</v>
      </c>
      <c r="K95" s="1" t="s">
        <v>2016</v>
      </c>
      <c r="L95" s="13">
        <f>services_weekly[[#This Row],[patients_admitted]]/services_weekly[[#This Row],[available_beds]]</f>
        <v>0.53846153846153844</v>
      </c>
    </row>
    <row r="96" spans="2:12" x14ac:dyDescent="0.25">
      <c r="B96">
        <v>24</v>
      </c>
      <c r="C96">
        <v>6</v>
      </c>
      <c r="D96" s="1" t="s">
        <v>14</v>
      </c>
      <c r="E96">
        <v>47</v>
      </c>
      <c r="F96">
        <v>66</v>
      </c>
      <c r="G96">
        <v>47</v>
      </c>
      <c r="H96">
        <v>19</v>
      </c>
      <c r="I96">
        <v>94</v>
      </c>
      <c r="J96">
        <v>97</v>
      </c>
      <c r="K96" s="1" t="s">
        <v>2013</v>
      </c>
      <c r="L96" s="12">
        <f>services_weekly[[#This Row],[patients_admitted]]/services_weekly[[#This Row],[available_beds]]</f>
        <v>1</v>
      </c>
    </row>
    <row r="97" spans="2:12" x14ac:dyDescent="0.25">
      <c r="B97">
        <v>24</v>
      </c>
      <c r="C97">
        <v>6</v>
      </c>
      <c r="D97" s="1" t="s">
        <v>20</v>
      </c>
      <c r="E97">
        <v>9</v>
      </c>
      <c r="F97">
        <v>9</v>
      </c>
      <c r="G97">
        <v>9</v>
      </c>
      <c r="H97">
        <v>0</v>
      </c>
      <c r="I97">
        <v>91</v>
      </c>
      <c r="J97">
        <v>73</v>
      </c>
      <c r="K97" s="1" t="s">
        <v>2013</v>
      </c>
      <c r="L97" s="13">
        <f>services_weekly[[#This Row],[patients_admitted]]/services_weekly[[#This Row],[available_beds]]</f>
        <v>1</v>
      </c>
    </row>
    <row r="98" spans="2:12" x14ac:dyDescent="0.25">
      <c r="B98">
        <v>25</v>
      </c>
      <c r="C98">
        <v>7</v>
      </c>
      <c r="D98" s="1" t="s">
        <v>17</v>
      </c>
      <c r="E98">
        <v>15</v>
      </c>
      <c r="F98">
        <v>48</v>
      </c>
      <c r="G98">
        <v>15</v>
      </c>
      <c r="H98">
        <v>33</v>
      </c>
      <c r="I98">
        <v>72</v>
      </c>
      <c r="J98">
        <v>72</v>
      </c>
      <c r="K98" s="1" t="s">
        <v>2013</v>
      </c>
      <c r="L98" s="12">
        <f>services_weekly[[#This Row],[patients_admitted]]/services_weekly[[#This Row],[available_beds]]</f>
        <v>1</v>
      </c>
    </row>
    <row r="99" spans="2:12" x14ac:dyDescent="0.25">
      <c r="B99">
        <v>25</v>
      </c>
      <c r="C99">
        <v>7</v>
      </c>
      <c r="D99" s="1" t="s">
        <v>9</v>
      </c>
      <c r="E99">
        <v>22</v>
      </c>
      <c r="F99">
        <v>39</v>
      </c>
      <c r="G99">
        <v>22</v>
      </c>
      <c r="H99">
        <v>17</v>
      </c>
      <c r="I99">
        <v>76</v>
      </c>
      <c r="J99">
        <v>98</v>
      </c>
      <c r="K99" s="1" t="s">
        <v>2013</v>
      </c>
      <c r="L99" s="13">
        <f>services_weekly[[#This Row],[patients_admitted]]/services_weekly[[#This Row],[available_beds]]</f>
        <v>1</v>
      </c>
    </row>
    <row r="100" spans="2:12" x14ac:dyDescent="0.25">
      <c r="B100">
        <v>25</v>
      </c>
      <c r="C100">
        <v>7</v>
      </c>
      <c r="D100" s="1" t="s">
        <v>14</v>
      </c>
      <c r="E100">
        <v>36</v>
      </c>
      <c r="F100">
        <v>51</v>
      </c>
      <c r="G100">
        <v>36</v>
      </c>
      <c r="H100">
        <v>15</v>
      </c>
      <c r="I100">
        <v>81</v>
      </c>
      <c r="J100">
        <v>62</v>
      </c>
      <c r="K100" s="1" t="s">
        <v>2013</v>
      </c>
      <c r="L100" s="12">
        <f>services_weekly[[#This Row],[patients_admitted]]/services_weekly[[#This Row],[available_beds]]</f>
        <v>1</v>
      </c>
    </row>
    <row r="101" spans="2:12" x14ac:dyDescent="0.25">
      <c r="B101">
        <v>25</v>
      </c>
      <c r="C101">
        <v>7</v>
      </c>
      <c r="D101" s="1" t="s">
        <v>20</v>
      </c>
      <c r="E101">
        <v>8</v>
      </c>
      <c r="F101">
        <v>6</v>
      </c>
      <c r="G101">
        <v>6</v>
      </c>
      <c r="H101">
        <v>0</v>
      </c>
      <c r="I101">
        <v>71</v>
      </c>
      <c r="J101">
        <v>90</v>
      </c>
      <c r="K101" s="1" t="s">
        <v>2013</v>
      </c>
      <c r="L101" s="13">
        <f>services_weekly[[#This Row],[patients_admitted]]/services_weekly[[#This Row],[available_beds]]</f>
        <v>0.75</v>
      </c>
    </row>
    <row r="102" spans="2:12" x14ac:dyDescent="0.25">
      <c r="B102">
        <v>26</v>
      </c>
      <c r="C102">
        <v>7</v>
      </c>
      <c r="D102" s="1" t="s">
        <v>17</v>
      </c>
      <c r="E102">
        <v>18</v>
      </c>
      <c r="F102">
        <v>96</v>
      </c>
      <c r="G102">
        <v>18</v>
      </c>
      <c r="H102">
        <v>78</v>
      </c>
      <c r="I102">
        <v>87</v>
      </c>
      <c r="J102">
        <v>63</v>
      </c>
      <c r="K102" s="1" t="s">
        <v>2013</v>
      </c>
      <c r="L102" s="12">
        <f>services_weekly[[#This Row],[patients_admitted]]/services_weekly[[#This Row],[available_beds]]</f>
        <v>1</v>
      </c>
    </row>
    <row r="103" spans="2:12" x14ac:dyDescent="0.25">
      <c r="B103">
        <v>26</v>
      </c>
      <c r="C103">
        <v>7</v>
      </c>
      <c r="D103" s="1" t="s">
        <v>9</v>
      </c>
      <c r="E103">
        <v>31</v>
      </c>
      <c r="F103">
        <v>30</v>
      </c>
      <c r="G103">
        <v>30</v>
      </c>
      <c r="H103">
        <v>0</v>
      </c>
      <c r="I103">
        <v>75</v>
      </c>
      <c r="J103">
        <v>54</v>
      </c>
      <c r="K103" s="1" t="s">
        <v>2013</v>
      </c>
      <c r="L103" s="13">
        <f>services_weekly[[#This Row],[patients_admitted]]/services_weekly[[#This Row],[available_beds]]</f>
        <v>0.967741935483871</v>
      </c>
    </row>
    <row r="104" spans="2:12" x14ac:dyDescent="0.25">
      <c r="B104">
        <v>26</v>
      </c>
      <c r="C104">
        <v>7</v>
      </c>
      <c r="D104" s="1" t="s">
        <v>14</v>
      </c>
      <c r="E104">
        <v>43</v>
      </c>
      <c r="F104">
        <v>72</v>
      </c>
      <c r="G104">
        <v>43</v>
      </c>
      <c r="H104">
        <v>29</v>
      </c>
      <c r="I104">
        <v>80</v>
      </c>
      <c r="J104">
        <v>85</v>
      </c>
      <c r="K104" s="1" t="s">
        <v>2013</v>
      </c>
      <c r="L104" s="12">
        <f>services_weekly[[#This Row],[patients_admitted]]/services_weekly[[#This Row],[available_beds]]</f>
        <v>1</v>
      </c>
    </row>
    <row r="105" spans="2:12" x14ac:dyDescent="0.25">
      <c r="B105">
        <v>26</v>
      </c>
      <c r="C105">
        <v>7</v>
      </c>
      <c r="D105" s="1" t="s">
        <v>20</v>
      </c>
      <c r="E105">
        <v>14</v>
      </c>
      <c r="F105">
        <v>8</v>
      </c>
      <c r="G105">
        <v>8</v>
      </c>
      <c r="H105">
        <v>0</v>
      </c>
      <c r="I105">
        <v>98</v>
      </c>
      <c r="J105">
        <v>63</v>
      </c>
      <c r="K105" s="1" t="s">
        <v>2013</v>
      </c>
      <c r="L105" s="13">
        <f>services_weekly[[#This Row],[patients_admitted]]/services_weekly[[#This Row],[available_beds]]</f>
        <v>0.5714285714285714</v>
      </c>
    </row>
    <row r="106" spans="2:12" x14ac:dyDescent="0.25">
      <c r="B106">
        <v>27</v>
      </c>
      <c r="C106">
        <v>7</v>
      </c>
      <c r="D106" s="1" t="s">
        <v>17</v>
      </c>
      <c r="E106">
        <v>15</v>
      </c>
      <c r="F106">
        <v>67</v>
      </c>
      <c r="G106">
        <v>15</v>
      </c>
      <c r="H106">
        <v>52</v>
      </c>
      <c r="I106">
        <v>82</v>
      </c>
      <c r="J106">
        <v>78</v>
      </c>
      <c r="K106" s="1" t="s">
        <v>2013</v>
      </c>
      <c r="L106" s="12">
        <f>services_weekly[[#This Row],[patients_admitted]]/services_weekly[[#This Row],[available_beds]]</f>
        <v>1</v>
      </c>
    </row>
    <row r="107" spans="2:12" x14ac:dyDescent="0.25">
      <c r="B107">
        <v>27</v>
      </c>
      <c r="C107">
        <v>7</v>
      </c>
      <c r="D107" s="1" t="s">
        <v>9</v>
      </c>
      <c r="E107">
        <v>29</v>
      </c>
      <c r="F107">
        <v>24</v>
      </c>
      <c r="G107">
        <v>24</v>
      </c>
      <c r="H107">
        <v>0</v>
      </c>
      <c r="I107">
        <v>68</v>
      </c>
      <c r="J107">
        <v>59</v>
      </c>
      <c r="K107" s="1" t="s">
        <v>2013</v>
      </c>
      <c r="L107" s="13">
        <f>services_weekly[[#This Row],[patients_admitted]]/services_weekly[[#This Row],[available_beds]]</f>
        <v>0.82758620689655171</v>
      </c>
    </row>
    <row r="108" spans="2:12" x14ac:dyDescent="0.25">
      <c r="B108">
        <v>27</v>
      </c>
      <c r="C108">
        <v>7</v>
      </c>
      <c r="D108" s="1" t="s">
        <v>14</v>
      </c>
      <c r="E108">
        <v>36</v>
      </c>
      <c r="F108">
        <v>61</v>
      </c>
      <c r="G108">
        <v>36</v>
      </c>
      <c r="H108">
        <v>25</v>
      </c>
      <c r="I108">
        <v>66</v>
      </c>
      <c r="J108">
        <v>95</v>
      </c>
      <c r="K108" s="1" t="s">
        <v>2013</v>
      </c>
      <c r="L108" s="12">
        <f>services_weekly[[#This Row],[patients_admitted]]/services_weekly[[#This Row],[available_beds]]</f>
        <v>1</v>
      </c>
    </row>
    <row r="109" spans="2:12" x14ac:dyDescent="0.25">
      <c r="B109">
        <v>27</v>
      </c>
      <c r="C109">
        <v>7</v>
      </c>
      <c r="D109" s="1" t="s">
        <v>20</v>
      </c>
      <c r="E109">
        <v>15</v>
      </c>
      <c r="F109">
        <v>10</v>
      </c>
      <c r="G109">
        <v>10</v>
      </c>
      <c r="H109">
        <v>0</v>
      </c>
      <c r="I109">
        <v>86</v>
      </c>
      <c r="J109">
        <v>51</v>
      </c>
      <c r="K109" s="1" t="s">
        <v>2013</v>
      </c>
      <c r="L109" s="13">
        <f>services_weekly[[#This Row],[patients_admitted]]/services_weekly[[#This Row],[available_beds]]</f>
        <v>0.66666666666666663</v>
      </c>
    </row>
    <row r="110" spans="2:12" x14ac:dyDescent="0.25">
      <c r="B110">
        <v>28</v>
      </c>
      <c r="C110">
        <v>7</v>
      </c>
      <c r="D110" s="1" t="s">
        <v>17</v>
      </c>
      <c r="E110">
        <v>15</v>
      </c>
      <c r="F110">
        <v>69</v>
      </c>
      <c r="G110">
        <v>15</v>
      </c>
      <c r="H110">
        <v>54</v>
      </c>
      <c r="I110">
        <v>78</v>
      </c>
      <c r="J110">
        <v>66</v>
      </c>
      <c r="K110" s="1" t="s">
        <v>2015</v>
      </c>
      <c r="L110" s="12">
        <f>services_weekly[[#This Row],[patients_admitted]]/services_weekly[[#This Row],[available_beds]]</f>
        <v>1</v>
      </c>
    </row>
    <row r="111" spans="2:12" x14ac:dyDescent="0.25">
      <c r="B111">
        <v>28</v>
      </c>
      <c r="C111">
        <v>7</v>
      </c>
      <c r="D111" s="1" t="s">
        <v>9</v>
      </c>
      <c r="E111">
        <v>31</v>
      </c>
      <c r="F111">
        <v>28</v>
      </c>
      <c r="G111">
        <v>28</v>
      </c>
      <c r="H111">
        <v>0</v>
      </c>
      <c r="I111">
        <v>66</v>
      </c>
      <c r="J111">
        <v>74</v>
      </c>
      <c r="K111" s="1" t="s">
        <v>2013</v>
      </c>
      <c r="L111" s="13">
        <f>services_weekly[[#This Row],[patients_admitted]]/services_weekly[[#This Row],[available_beds]]</f>
        <v>0.90322580645161288</v>
      </c>
    </row>
    <row r="112" spans="2:12" x14ac:dyDescent="0.25">
      <c r="B112">
        <v>28</v>
      </c>
      <c r="C112">
        <v>7</v>
      </c>
      <c r="D112" s="1" t="s">
        <v>14</v>
      </c>
      <c r="E112">
        <v>26</v>
      </c>
      <c r="F112">
        <v>36</v>
      </c>
      <c r="G112">
        <v>26</v>
      </c>
      <c r="H112">
        <v>10</v>
      </c>
      <c r="I112">
        <v>90</v>
      </c>
      <c r="J112">
        <v>68</v>
      </c>
      <c r="K112" s="1" t="s">
        <v>2013</v>
      </c>
      <c r="L112" s="12">
        <f>services_weekly[[#This Row],[patients_admitted]]/services_weekly[[#This Row],[available_beds]]</f>
        <v>1</v>
      </c>
    </row>
    <row r="113" spans="2:12" x14ac:dyDescent="0.25">
      <c r="B113">
        <v>28</v>
      </c>
      <c r="C113">
        <v>7</v>
      </c>
      <c r="D113" s="1" t="s">
        <v>20</v>
      </c>
      <c r="E113">
        <v>12</v>
      </c>
      <c r="F113">
        <v>8</v>
      </c>
      <c r="G113">
        <v>8</v>
      </c>
      <c r="H113">
        <v>0</v>
      </c>
      <c r="I113">
        <v>86</v>
      </c>
      <c r="J113">
        <v>59</v>
      </c>
      <c r="K113" s="1" t="s">
        <v>2013</v>
      </c>
      <c r="L113" s="13">
        <f>services_weekly[[#This Row],[patients_admitted]]/services_weekly[[#This Row],[available_beds]]</f>
        <v>0.66666666666666663</v>
      </c>
    </row>
    <row r="114" spans="2:12" x14ac:dyDescent="0.25">
      <c r="B114">
        <v>29</v>
      </c>
      <c r="C114">
        <v>8</v>
      </c>
      <c r="D114" s="1" t="s">
        <v>17</v>
      </c>
      <c r="E114">
        <v>16</v>
      </c>
      <c r="F114">
        <v>92</v>
      </c>
      <c r="G114">
        <v>16</v>
      </c>
      <c r="H114">
        <v>76</v>
      </c>
      <c r="I114">
        <v>72</v>
      </c>
      <c r="J114">
        <v>99</v>
      </c>
      <c r="K114" s="1" t="s">
        <v>2013</v>
      </c>
      <c r="L114" s="12">
        <f>services_weekly[[#This Row],[patients_admitted]]/services_weekly[[#This Row],[available_beds]]</f>
        <v>1</v>
      </c>
    </row>
    <row r="115" spans="2:12" x14ac:dyDescent="0.25">
      <c r="B115">
        <v>29</v>
      </c>
      <c r="C115">
        <v>8</v>
      </c>
      <c r="D115" s="1" t="s">
        <v>9</v>
      </c>
      <c r="E115">
        <v>36</v>
      </c>
      <c r="F115">
        <v>31</v>
      </c>
      <c r="G115">
        <v>31</v>
      </c>
      <c r="H115">
        <v>0</v>
      </c>
      <c r="I115">
        <v>87</v>
      </c>
      <c r="J115">
        <v>57</v>
      </c>
      <c r="K115" s="1" t="s">
        <v>2013</v>
      </c>
      <c r="L115" s="13">
        <f>services_weekly[[#This Row],[patients_admitted]]/services_weekly[[#This Row],[available_beds]]</f>
        <v>0.86111111111111116</v>
      </c>
    </row>
    <row r="116" spans="2:12" x14ac:dyDescent="0.25">
      <c r="B116">
        <v>29</v>
      </c>
      <c r="C116">
        <v>8</v>
      </c>
      <c r="D116" s="1" t="s">
        <v>14</v>
      </c>
      <c r="E116">
        <v>30</v>
      </c>
      <c r="F116">
        <v>62</v>
      </c>
      <c r="G116">
        <v>30</v>
      </c>
      <c r="H116">
        <v>32</v>
      </c>
      <c r="I116">
        <v>60</v>
      </c>
      <c r="J116">
        <v>52</v>
      </c>
      <c r="K116" s="1" t="s">
        <v>2013</v>
      </c>
      <c r="L116" s="12">
        <f>services_weekly[[#This Row],[patients_admitted]]/services_weekly[[#This Row],[available_beds]]</f>
        <v>1</v>
      </c>
    </row>
    <row r="117" spans="2:12" x14ac:dyDescent="0.25">
      <c r="B117">
        <v>29</v>
      </c>
      <c r="C117">
        <v>8</v>
      </c>
      <c r="D117" s="1" t="s">
        <v>20</v>
      </c>
      <c r="E117">
        <v>14</v>
      </c>
      <c r="F117">
        <v>15</v>
      </c>
      <c r="G117">
        <v>14</v>
      </c>
      <c r="H117">
        <v>1</v>
      </c>
      <c r="I117">
        <v>84</v>
      </c>
      <c r="J117">
        <v>82</v>
      </c>
      <c r="K117" s="1" t="s">
        <v>2013</v>
      </c>
      <c r="L117" s="13">
        <f>services_weekly[[#This Row],[patients_admitted]]/services_weekly[[#This Row],[available_beds]]</f>
        <v>1</v>
      </c>
    </row>
    <row r="118" spans="2:12" x14ac:dyDescent="0.25">
      <c r="B118">
        <v>30</v>
      </c>
      <c r="C118">
        <v>8</v>
      </c>
      <c r="D118" s="1" t="s">
        <v>17</v>
      </c>
      <c r="E118">
        <v>16</v>
      </c>
      <c r="F118">
        <v>85</v>
      </c>
      <c r="G118">
        <v>16</v>
      </c>
      <c r="H118">
        <v>69</v>
      </c>
      <c r="I118">
        <v>91</v>
      </c>
      <c r="J118">
        <v>94</v>
      </c>
      <c r="K118" s="1" t="s">
        <v>2013</v>
      </c>
      <c r="L118" s="12">
        <f>services_weekly[[#This Row],[patients_admitted]]/services_weekly[[#This Row],[available_beds]]</f>
        <v>1</v>
      </c>
    </row>
    <row r="119" spans="2:12" x14ac:dyDescent="0.25">
      <c r="B119">
        <v>30</v>
      </c>
      <c r="C119">
        <v>8</v>
      </c>
      <c r="D119" s="1" t="s">
        <v>9</v>
      </c>
      <c r="E119">
        <v>32</v>
      </c>
      <c r="F119">
        <v>15</v>
      </c>
      <c r="G119">
        <v>15</v>
      </c>
      <c r="H119">
        <v>0</v>
      </c>
      <c r="I119">
        <v>70</v>
      </c>
      <c r="J119">
        <v>66</v>
      </c>
      <c r="K119" s="1" t="s">
        <v>2016</v>
      </c>
      <c r="L119" s="13">
        <f>services_weekly[[#This Row],[patients_admitted]]/services_weekly[[#This Row],[available_beds]]</f>
        <v>0.46875</v>
      </c>
    </row>
    <row r="120" spans="2:12" x14ac:dyDescent="0.25">
      <c r="B120">
        <v>30</v>
      </c>
      <c r="C120">
        <v>8</v>
      </c>
      <c r="D120" s="1" t="s">
        <v>14</v>
      </c>
      <c r="E120">
        <v>38</v>
      </c>
      <c r="F120">
        <v>47</v>
      </c>
      <c r="G120">
        <v>38</v>
      </c>
      <c r="H120">
        <v>9</v>
      </c>
      <c r="I120">
        <v>77</v>
      </c>
      <c r="J120">
        <v>96</v>
      </c>
      <c r="K120" s="1" t="s">
        <v>2013</v>
      </c>
      <c r="L120" s="12">
        <f>services_weekly[[#This Row],[patients_admitted]]/services_weekly[[#This Row],[available_beds]]</f>
        <v>1</v>
      </c>
    </row>
    <row r="121" spans="2:12" x14ac:dyDescent="0.25">
      <c r="B121">
        <v>30</v>
      </c>
      <c r="C121">
        <v>8</v>
      </c>
      <c r="D121" s="1" t="s">
        <v>20</v>
      </c>
      <c r="E121">
        <v>8</v>
      </c>
      <c r="F121">
        <v>7</v>
      </c>
      <c r="G121">
        <v>7</v>
      </c>
      <c r="H121">
        <v>0</v>
      </c>
      <c r="I121">
        <v>62</v>
      </c>
      <c r="J121">
        <v>65</v>
      </c>
      <c r="K121" s="1" t="s">
        <v>2013</v>
      </c>
      <c r="L121" s="13">
        <f>services_weekly[[#This Row],[patients_admitted]]/services_weekly[[#This Row],[available_beds]]</f>
        <v>0.875</v>
      </c>
    </row>
    <row r="122" spans="2:12" x14ac:dyDescent="0.25">
      <c r="B122">
        <v>31</v>
      </c>
      <c r="C122">
        <v>8</v>
      </c>
      <c r="D122" s="1" t="s">
        <v>17</v>
      </c>
      <c r="E122">
        <v>20</v>
      </c>
      <c r="F122">
        <v>48</v>
      </c>
      <c r="G122">
        <v>20</v>
      </c>
      <c r="H122">
        <v>28</v>
      </c>
      <c r="I122">
        <v>69</v>
      </c>
      <c r="J122">
        <v>81</v>
      </c>
      <c r="K122" s="1" t="s">
        <v>2013</v>
      </c>
      <c r="L122" s="12">
        <f>services_weekly[[#This Row],[patients_admitted]]/services_weekly[[#This Row],[available_beds]]</f>
        <v>1</v>
      </c>
    </row>
    <row r="123" spans="2:12" x14ac:dyDescent="0.25">
      <c r="B123">
        <v>31</v>
      </c>
      <c r="C123">
        <v>8</v>
      </c>
      <c r="D123" s="1" t="s">
        <v>9</v>
      </c>
      <c r="E123">
        <v>20</v>
      </c>
      <c r="F123">
        <v>24</v>
      </c>
      <c r="G123">
        <v>20</v>
      </c>
      <c r="H123">
        <v>4</v>
      </c>
      <c r="I123">
        <v>83</v>
      </c>
      <c r="J123">
        <v>86</v>
      </c>
      <c r="K123" s="1" t="s">
        <v>2015</v>
      </c>
      <c r="L123" s="13">
        <f>services_weekly[[#This Row],[patients_admitted]]/services_weekly[[#This Row],[available_beds]]</f>
        <v>1</v>
      </c>
    </row>
    <row r="124" spans="2:12" x14ac:dyDescent="0.25">
      <c r="B124">
        <v>31</v>
      </c>
      <c r="C124">
        <v>8</v>
      </c>
      <c r="D124" s="1" t="s">
        <v>14</v>
      </c>
      <c r="E124">
        <v>45</v>
      </c>
      <c r="F124">
        <v>60</v>
      </c>
      <c r="G124">
        <v>45</v>
      </c>
      <c r="H124">
        <v>15</v>
      </c>
      <c r="I124">
        <v>85</v>
      </c>
      <c r="J124">
        <v>57</v>
      </c>
      <c r="K124" s="1" t="s">
        <v>2013</v>
      </c>
      <c r="L124" s="12">
        <f>services_weekly[[#This Row],[patients_admitted]]/services_weekly[[#This Row],[available_beds]]</f>
        <v>1</v>
      </c>
    </row>
    <row r="125" spans="2:12" x14ac:dyDescent="0.25">
      <c r="B125">
        <v>31</v>
      </c>
      <c r="C125">
        <v>8</v>
      </c>
      <c r="D125" s="1" t="s">
        <v>20</v>
      </c>
      <c r="E125">
        <v>8</v>
      </c>
      <c r="F125">
        <v>12</v>
      </c>
      <c r="G125">
        <v>8</v>
      </c>
      <c r="H125">
        <v>4</v>
      </c>
      <c r="I125">
        <v>87</v>
      </c>
      <c r="J125">
        <v>86</v>
      </c>
      <c r="K125" s="1" t="s">
        <v>2013</v>
      </c>
      <c r="L125" s="13">
        <f>services_weekly[[#This Row],[patients_admitted]]/services_weekly[[#This Row],[available_beds]]</f>
        <v>1</v>
      </c>
    </row>
    <row r="126" spans="2:12" x14ac:dyDescent="0.25">
      <c r="B126">
        <v>32</v>
      </c>
      <c r="C126">
        <v>8</v>
      </c>
      <c r="D126" s="1" t="s">
        <v>17</v>
      </c>
      <c r="E126">
        <v>20</v>
      </c>
      <c r="F126">
        <v>89</v>
      </c>
      <c r="G126">
        <v>20</v>
      </c>
      <c r="H126">
        <v>69</v>
      </c>
      <c r="I126">
        <v>76</v>
      </c>
      <c r="J126">
        <v>58</v>
      </c>
      <c r="K126" s="1" t="s">
        <v>2013</v>
      </c>
      <c r="L126" s="12">
        <f>services_weekly[[#This Row],[patients_admitted]]/services_weekly[[#This Row],[available_beds]]</f>
        <v>1</v>
      </c>
    </row>
    <row r="127" spans="2:12" x14ac:dyDescent="0.25">
      <c r="B127">
        <v>32</v>
      </c>
      <c r="C127">
        <v>8</v>
      </c>
      <c r="D127" s="1" t="s">
        <v>9</v>
      </c>
      <c r="E127">
        <v>31</v>
      </c>
      <c r="F127">
        <v>25</v>
      </c>
      <c r="G127">
        <v>25</v>
      </c>
      <c r="H127">
        <v>0</v>
      </c>
      <c r="I127">
        <v>87</v>
      </c>
      <c r="J127">
        <v>97</v>
      </c>
      <c r="K127" s="1" t="s">
        <v>2013</v>
      </c>
      <c r="L127" s="13">
        <f>services_weekly[[#This Row],[patients_admitted]]/services_weekly[[#This Row],[available_beds]]</f>
        <v>0.80645161290322576</v>
      </c>
    </row>
    <row r="128" spans="2:12" x14ac:dyDescent="0.25">
      <c r="B128">
        <v>32</v>
      </c>
      <c r="C128">
        <v>8</v>
      </c>
      <c r="D128" s="1" t="s">
        <v>14</v>
      </c>
      <c r="E128">
        <v>34</v>
      </c>
      <c r="F128">
        <v>59</v>
      </c>
      <c r="G128">
        <v>34</v>
      </c>
      <c r="H128">
        <v>25</v>
      </c>
      <c r="I128">
        <v>65</v>
      </c>
      <c r="J128">
        <v>67</v>
      </c>
      <c r="K128" s="1" t="s">
        <v>2013</v>
      </c>
      <c r="L128" s="12">
        <f>services_weekly[[#This Row],[patients_admitted]]/services_weekly[[#This Row],[available_beds]]</f>
        <v>1</v>
      </c>
    </row>
    <row r="129" spans="2:12" x14ac:dyDescent="0.25">
      <c r="B129">
        <v>32</v>
      </c>
      <c r="C129">
        <v>8</v>
      </c>
      <c r="D129" s="1" t="s">
        <v>20</v>
      </c>
      <c r="E129">
        <v>11</v>
      </c>
      <c r="F129">
        <v>15</v>
      </c>
      <c r="G129">
        <v>11</v>
      </c>
      <c r="H129">
        <v>4</v>
      </c>
      <c r="I129">
        <v>84</v>
      </c>
      <c r="J129">
        <v>51</v>
      </c>
      <c r="K129" s="1" t="s">
        <v>2013</v>
      </c>
      <c r="L129" s="13">
        <f>services_weekly[[#This Row],[patients_admitted]]/services_weekly[[#This Row],[available_beds]]</f>
        <v>1</v>
      </c>
    </row>
    <row r="130" spans="2:12" x14ac:dyDescent="0.25">
      <c r="B130">
        <v>33</v>
      </c>
      <c r="C130">
        <v>9</v>
      </c>
      <c r="D130" s="1" t="s">
        <v>17</v>
      </c>
      <c r="E130">
        <v>28</v>
      </c>
      <c r="F130">
        <v>54</v>
      </c>
      <c r="G130">
        <v>28</v>
      </c>
      <c r="H130">
        <v>26</v>
      </c>
      <c r="I130">
        <v>92</v>
      </c>
      <c r="J130">
        <v>56</v>
      </c>
      <c r="K130" s="1" t="s">
        <v>2015</v>
      </c>
      <c r="L130" s="12">
        <f>services_weekly[[#This Row],[patients_admitted]]/services_weekly[[#This Row],[available_beds]]</f>
        <v>1</v>
      </c>
    </row>
    <row r="131" spans="2:12" x14ac:dyDescent="0.25">
      <c r="B131">
        <v>33</v>
      </c>
      <c r="C131">
        <v>9</v>
      </c>
      <c r="D131" s="1" t="s">
        <v>9</v>
      </c>
      <c r="E131">
        <v>36</v>
      </c>
      <c r="F131">
        <v>30</v>
      </c>
      <c r="G131">
        <v>30</v>
      </c>
      <c r="H131">
        <v>0</v>
      </c>
      <c r="I131">
        <v>80</v>
      </c>
      <c r="J131">
        <v>75</v>
      </c>
      <c r="K131" s="1" t="s">
        <v>2013</v>
      </c>
      <c r="L131" s="13">
        <f>services_weekly[[#This Row],[patients_admitted]]/services_weekly[[#This Row],[available_beds]]</f>
        <v>0.83333333333333337</v>
      </c>
    </row>
    <row r="132" spans="2:12" x14ac:dyDescent="0.25">
      <c r="B132">
        <v>33</v>
      </c>
      <c r="C132">
        <v>9</v>
      </c>
      <c r="D132" s="1" t="s">
        <v>14</v>
      </c>
      <c r="E132">
        <v>51</v>
      </c>
      <c r="F132">
        <v>98</v>
      </c>
      <c r="G132">
        <v>51</v>
      </c>
      <c r="H132">
        <v>47</v>
      </c>
      <c r="I132">
        <v>86</v>
      </c>
      <c r="J132">
        <v>98</v>
      </c>
      <c r="K132" s="1" t="s">
        <v>2013</v>
      </c>
      <c r="L132" s="12">
        <f>services_weekly[[#This Row],[patients_admitted]]/services_weekly[[#This Row],[available_beds]]</f>
        <v>1</v>
      </c>
    </row>
    <row r="133" spans="2:12" x14ac:dyDescent="0.25">
      <c r="B133">
        <v>33</v>
      </c>
      <c r="C133">
        <v>9</v>
      </c>
      <c r="D133" s="1" t="s">
        <v>20</v>
      </c>
      <c r="E133">
        <v>11</v>
      </c>
      <c r="F133">
        <v>13</v>
      </c>
      <c r="G133">
        <v>11</v>
      </c>
      <c r="H133">
        <v>2</v>
      </c>
      <c r="I133">
        <v>94</v>
      </c>
      <c r="J133">
        <v>50</v>
      </c>
      <c r="K133" s="1" t="s">
        <v>2013</v>
      </c>
      <c r="L133" s="13">
        <f>services_weekly[[#This Row],[patients_admitted]]/services_weekly[[#This Row],[available_beds]]</f>
        <v>1</v>
      </c>
    </row>
    <row r="134" spans="2:12" x14ac:dyDescent="0.25">
      <c r="B134">
        <v>34</v>
      </c>
      <c r="C134">
        <v>9</v>
      </c>
      <c r="D134" s="1" t="s">
        <v>17</v>
      </c>
      <c r="E134">
        <v>21</v>
      </c>
      <c r="F134">
        <v>31</v>
      </c>
      <c r="G134">
        <v>21</v>
      </c>
      <c r="H134">
        <v>10</v>
      </c>
      <c r="I134">
        <v>64</v>
      </c>
      <c r="J134">
        <v>60</v>
      </c>
      <c r="K134" s="1" t="s">
        <v>2016</v>
      </c>
      <c r="L134" s="12">
        <f>services_weekly[[#This Row],[patients_admitted]]/services_weekly[[#This Row],[available_beds]]</f>
        <v>1</v>
      </c>
    </row>
    <row r="135" spans="2:12" x14ac:dyDescent="0.25">
      <c r="B135">
        <v>34</v>
      </c>
      <c r="C135">
        <v>9</v>
      </c>
      <c r="D135" s="1" t="s">
        <v>9</v>
      </c>
      <c r="E135">
        <v>22</v>
      </c>
      <c r="F135">
        <v>42</v>
      </c>
      <c r="G135">
        <v>22</v>
      </c>
      <c r="H135">
        <v>20</v>
      </c>
      <c r="I135">
        <v>96</v>
      </c>
      <c r="J135">
        <v>86</v>
      </c>
      <c r="K135" s="1" t="s">
        <v>2013</v>
      </c>
      <c r="L135" s="13">
        <f>services_weekly[[#This Row],[patients_admitted]]/services_weekly[[#This Row],[available_beds]]</f>
        <v>1</v>
      </c>
    </row>
    <row r="136" spans="2:12" x14ac:dyDescent="0.25">
      <c r="B136">
        <v>34</v>
      </c>
      <c r="C136">
        <v>9</v>
      </c>
      <c r="D136" s="1" t="s">
        <v>14</v>
      </c>
      <c r="E136">
        <v>48</v>
      </c>
      <c r="F136">
        <v>56</v>
      </c>
      <c r="G136">
        <v>48</v>
      </c>
      <c r="H136">
        <v>8</v>
      </c>
      <c r="I136">
        <v>80</v>
      </c>
      <c r="J136">
        <v>63</v>
      </c>
      <c r="K136" s="1" t="s">
        <v>2013</v>
      </c>
      <c r="L136" s="12">
        <f>services_weekly[[#This Row],[patients_admitted]]/services_weekly[[#This Row],[available_beds]]</f>
        <v>1</v>
      </c>
    </row>
    <row r="137" spans="2:12" x14ac:dyDescent="0.25">
      <c r="B137">
        <v>34</v>
      </c>
      <c r="C137">
        <v>9</v>
      </c>
      <c r="D137" s="1" t="s">
        <v>20</v>
      </c>
      <c r="E137">
        <v>10</v>
      </c>
      <c r="F137">
        <v>7</v>
      </c>
      <c r="G137">
        <v>7</v>
      </c>
      <c r="H137">
        <v>0</v>
      </c>
      <c r="I137">
        <v>72</v>
      </c>
      <c r="J137">
        <v>53</v>
      </c>
      <c r="K137" s="1" t="s">
        <v>2013</v>
      </c>
      <c r="L137" s="13">
        <f>services_weekly[[#This Row],[patients_admitted]]/services_weekly[[#This Row],[available_beds]]</f>
        <v>0.7</v>
      </c>
    </row>
    <row r="138" spans="2:12" x14ac:dyDescent="0.25">
      <c r="B138">
        <v>35</v>
      </c>
      <c r="C138">
        <v>9</v>
      </c>
      <c r="D138" s="1" t="s">
        <v>17</v>
      </c>
      <c r="E138">
        <v>15</v>
      </c>
      <c r="F138">
        <v>81</v>
      </c>
      <c r="G138">
        <v>15</v>
      </c>
      <c r="H138">
        <v>66</v>
      </c>
      <c r="I138">
        <v>93</v>
      </c>
      <c r="J138">
        <v>77</v>
      </c>
      <c r="K138" s="1" t="s">
        <v>2013</v>
      </c>
      <c r="L138" s="12">
        <f>services_weekly[[#This Row],[patients_admitted]]/services_weekly[[#This Row],[available_beds]]</f>
        <v>1</v>
      </c>
    </row>
    <row r="139" spans="2:12" x14ac:dyDescent="0.25">
      <c r="B139">
        <v>35</v>
      </c>
      <c r="C139">
        <v>9</v>
      </c>
      <c r="D139" s="1" t="s">
        <v>9</v>
      </c>
      <c r="E139">
        <v>26</v>
      </c>
      <c r="F139">
        <v>45</v>
      </c>
      <c r="G139">
        <v>26</v>
      </c>
      <c r="H139">
        <v>19</v>
      </c>
      <c r="I139">
        <v>93</v>
      </c>
      <c r="J139">
        <v>52</v>
      </c>
      <c r="K139" s="1" t="s">
        <v>2013</v>
      </c>
      <c r="L139" s="13">
        <f>services_weekly[[#This Row],[patients_admitted]]/services_weekly[[#This Row],[available_beds]]</f>
        <v>1</v>
      </c>
    </row>
    <row r="140" spans="2:12" x14ac:dyDescent="0.25">
      <c r="B140">
        <v>35</v>
      </c>
      <c r="C140">
        <v>9</v>
      </c>
      <c r="D140" s="1" t="s">
        <v>14</v>
      </c>
      <c r="E140">
        <v>41</v>
      </c>
      <c r="F140">
        <v>40</v>
      </c>
      <c r="G140">
        <v>40</v>
      </c>
      <c r="H140">
        <v>0</v>
      </c>
      <c r="I140">
        <v>64</v>
      </c>
      <c r="J140">
        <v>79</v>
      </c>
      <c r="K140" s="1" t="s">
        <v>2013</v>
      </c>
      <c r="L140" s="12">
        <f>services_weekly[[#This Row],[patients_admitted]]/services_weekly[[#This Row],[available_beds]]</f>
        <v>0.97560975609756095</v>
      </c>
    </row>
    <row r="141" spans="2:12" x14ac:dyDescent="0.25">
      <c r="B141">
        <v>35</v>
      </c>
      <c r="C141">
        <v>9</v>
      </c>
      <c r="D141" s="1" t="s">
        <v>20</v>
      </c>
      <c r="E141">
        <v>18</v>
      </c>
      <c r="F141">
        <v>5</v>
      </c>
      <c r="G141">
        <v>5</v>
      </c>
      <c r="H141">
        <v>0</v>
      </c>
      <c r="I141">
        <v>82</v>
      </c>
      <c r="J141">
        <v>64</v>
      </c>
      <c r="K141" s="1" t="s">
        <v>2013</v>
      </c>
      <c r="L141" s="13">
        <f>services_weekly[[#This Row],[patients_admitted]]/services_weekly[[#This Row],[available_beds]]</f>
        <v>0.27777777777777779</v>
      </c>
    </row>
    <row r="142" spans="2:12" x14ac:dyDescent="0.25">
      <c r="B142">
        <v>36</v>
      </c>
      <c r="C142">
        <v>9</v>
      </c>
      <c r="D142" s="1" t="s">
        <v>17</v>
      </c>
      <c r="E142">
        <v>28</v>
      </c>
      <c r="F142">
        <v>115</v>
      </c>
      <c r="G142">
        <v>28</v>
      </c>
      <c r="H142">
        <v>87</v>
      </c>
      <c r="I142">
        <v>70</v>
      </c>
      <c r="J142">
        <v>88</v>
      </c>
      <c r="K142" s="1" t="s">
        <v>2013</v>
      </c>
      <c r="L142" s="12">
        <f>services_weekly[[#This Row],[patients_admitted]]/services_weekly[[#This Row],[available_beds]]</f>
        <v>1</v>
      </c>
    </row>
    <row r="143" spans="2:12" x14ac:dyDescent="0.25">
      <c r="B143">
        <v>36</v>
      </c>
      <c r="C143">
        <v>9</v>
      </c>
      <c r="D143" s="1" t="s">
        <v>9</v>
      </c>
      <c r="E143">
        <v>47</v>
      </c>
      <c r="F143">
        <v>53</v>
      </c>
      <c r="G143">
        <v>47</v>
      </c>
      <c r="H143">
        <v>6</v>
      </c>
      <c r="I143">
        <v>97</v>
      </c>
      <c r="J143">
        <v>99</v>
      </c>
      <c r="K143" s="1" t="s">
        <v>2013</v>
      </c>
      <c r="L143" s="13">
        <f>services_weekly[[#This Row],[patients_admitted]]/services_weekly[[#This Row],[available_beds]]</f>
        <v>1</v>
      </c>
    </row>
    <row r="144" spans="2:12" x14ac:dyDescent="0.25">
      <c r="B144">
        <v>36</v>
      </c>
      <c r="C144">
        <v>9</v>
      </c>
      <c r="D144" s="1" t="s">
        <v>14</v>
      </c>
      <c r="E144">
        <v>59</v>
      </c>
      <c r="F144">
        <v>54</v>
      </c>
      <c r="G144">
        <v>54</v>
      </c>
      <c r="H144">
        <v>0</v>
      </c>
      <c r="I144">
        <v>86</v>
      </c>
      <c r="J144">
        <v>83</v>
      </c>
      <c r="K144" s="1" t="s">
        <v>2013</v>
      </c>
      <c r="L144" s="12">
        <f>services_weekly[[#This Row],[patients_admitted]]/services_weekly[[#This Row],[available_beds]]</f>
        <v>0.9152542372881356</v>
      </c>
    </row>
    <row r="145" spans="2:12" x14ac:dyDescent="0.25">
      <c r="B145">
        <v>36</v>
      </c>
      <c r="C145">
        <v>9</v>
      </c>
      <c r="D145" s="1" t="s">
        <v>20</v>
      </c>
      <c r="E145">
        <v>15</v>
      </c>
      <c r="F145">
        <v>5</v>
      </c>
      <c r="G145">
        <v>5</v>
      </c>
      <c r="H145">
        <v>0</v>
      </c>
      <c r="I145">
        <v>83</v>
      </c>
      <c r="J145">
        <v>64</v>
      </c>
      <c r="K145" s="1" t="s">
        <v>2013</v>
      </c>
      <c r="L145" s="13">
        <f>services_weekly[[#This Row],[patients_admitted]]/services_weekly[[#This Row],[available_beds]]</f>
        <v>0.33333333333333331</v>
      </c>
    </row>
    <row r="146" spans="2:12" x14ac:dyDescent="0.25">
      <c r="B146">
        <v>37</v>
      </c>
      <c r="C146">
        <v>10</v>
      </c>
      <c r="D146" s="1" t="s">
        <v>17</v>
      </c>
      <c r="E146">
        <v>23</v>
      </c>
      <c r="F146">
        <v>110</v>
      </c>
      <c r="G146">
        <v>23</v>
      </c>
      <c r="H146">
        <v>87</v>
      </c>
      <c r="I146">
        <v>76</v>
      </c>
      <c r="J146">
        <v>54</v>
      </c>
      <c r="K146" s="1" t="s">
        <v>2013</v>
      </c>
      <c r="L146" s="12">
        <f>services_weekly[[#This Row],[patients_admitted]]/services_weekly[[#This Row],[available_beds]]</f>
        <v>1</v>
      </c>
    </row>
    <row r="147" spans="2:12" x14ac:dyDescent="0.25">
      <c r="B147">
        <v>37</v>
      </c>
      <c r="C147">
        <v>10</v>
      </c>
      <c r="D147" s="1" t="s">
        <v>9</v>
      </c>
      <c r="E147">
        <v>31</v>
      </c>
      <c r="F147">
        <v>39</v>
      </c>
      <c r="G147">
        <v>31</v>
      </c>
      <c r="H147">
        <v>8</v>
      </c>
      <c r="I147">
        <v>69</v>
      </c>
      <c r="J147">
        <v>66</v>
      </c>
      <c r="K147" s="1" t="s">
        <v>2013</v>
      </c>
      <c r="L147" s="13">
        <f>services_weekly[[#This Row],[patients_admitted]]/services_weekly[[#This Row],[available_beds]]</f>
        <v>1</v>
      </c>
    </row>
    <row r="148" spans="2:12" x14ac:dyDescent="0.25">
      <c r="B148">
        <v>37</v>
      </c>
      <c r="C148">
        <v>10</v>
      </c>
      <c r="D148" s="1" t="s">
        <v>14</v>
      </c>
      <c r="E148">
        <v>58</v>
      </c>
      <c r="F148">
        <v>48</v>
      </c>
      <c r="G148">
        <v>48</v>
      </c>
      <c r="H148">
        <v>0</v>
      </c>
      <c r="I148">
        <v>93</v>
      </c>
      <c r="J148">
        <v>55</v>
      </c>
      <c r="K148" s="1" t="s">
        <v>2013</v>
      </c>
      <c r="L148" s="12">
        <f>services_weekly[[#This Row],[patients_admitted]]/services_weekly[[#This Row],[available_beds]]</f>
        <v>0.82758620689655171</v>
      </c>
    </row>
    <row r="149" spans="2:12" x14ac:dyDescent="0.25">
      <c r="B149">
        <v>37</v>
      </c>
      <c r="C149">
        <v>10</v>
      </c>
      <c r="D149" s="1" t="s">
        <v>20</v>
      </c>
      <c r="E149">
        <v>13</v>
      </c>
      <c r="F149">
        <v>20</v>
      </c>
      <c r="G149">
        <v>13</v>
      </c>
      <c r="H149">
        <v>7</v>
      </c>
      <c r="I149">
        <v>82</v>
      </c>
      <c r="J149">
        <v>65</v>
      </c>
      <c r="K149" s="1" t="s">
        <v>2013</v>
      </c>
      <c r="L149" s="13">
        <f>services_weekly[[#This Row],[patients_admitted]]/services_weekly[[#This Row],[available_beds]]</f>
        <v>1</v>
      </c>
    </row>
    <row r="150" spans="2:12" x14ac:dyDescent="0.25">
      <c r="B150">
        <v>38</v>
      </c>
      <c r="C150">
        <v>10</v>
      </c>
      <c r="D150" s="1" t="s">
        <v>17</v>
      </c>
      <c r="E150">
        <v>22</v>
      </c>
      <c r="F150">
        <v>71</v>
      </c>
      <c r="G150">
        <v>22</v>
      </c>
      <c r="H150">
        <v>49</v>
      </c>
      <c r="I150">
        <v>67</v>
      </c>
      <c r="J150">
        <v>53</v>
      </c>
      <c r="K150" s="1" t="s">
        <v>2013</v>
      </c>
      <c r="L150" s="12">
        <f>services_weekly[[#This Row],[patients_admitted]]/services_weekly[[#This Row],[available_beds]]</f>
        <v>1</v>
      </c>
    </row>
    <row r="151" spans="2:12" x14ac:dyDescent="0.25">
      <c r="B151">
        <v>38</v>
      </c>
      <c r="C151">
        <v>10</v>
      </c>
      <c r="D151" s="1" t="s">
        <v>9</v>
      </c>
      <c r="E151">
        <v>47</v>
      </c>
      <c r="F151">
        <v>48</v>
      </c>
      <c r="G151">
        <v>47</v>
      </c>
      <c r="H151">
        <v>1</v>
      </c>
      <c r="I151">
        <v>62</v>
      </c>
      <c r="J151">
        <v>81</v>
      </c>
      <c r="K151" s="1" t="s">
        <v>2013</v>
      </c>
      <c r="L151" s="13">
        <f>services_weekly[[#This Row],[patients_admitted]]/services_weekly[[#This Row],[available_beds]]</f>
        <v>1</v>
      </c>
    </row>
    <row r="152" spans="2:12" x14ac:dyDescent="0.25">
      <c r="B152">
        <v>38</v>
      </c>
      <c r="C152">
        <v>10</v>
      </c>
      <c r="D152" s="1" t="s">
        <v>14</v>
      </c>
      <c r="E152">
        <v>63</v>
      </c>
      <c r="F152">
        <v>78</v>
      </c>
      <c r="G152">
        <v>63</v>
      </c>
      <c r="H152">
        <v>15</v>
      </c>
      <c r="I152">
        <v>78</v>
      </c>
      <c r="J152">
        <v>70</v>
      </c>
      <c r="K152" s="1" t="s">
        <v>2013</v>
      </c>
      <c r="L152" s="12">
        <f>services_weekly[[#This Row],[patients_admitted]]/services_weekly[[#This Row],[available_beds]]</f>
        <v>1</v>
      </c>
    </row>
    <row r="153" spans="2:12" x14ac:dyDescent="0.25">
      <c r="B153">
        <v>38</v>
      </c>
      <c r="C153">
        <v>10</v>
      </c>
      <c r="D153" s="1" t="s">
        <v>20</v>
      </c>
      <c r="E153">
        <v>20</v>
      </c>
      <c r="F153">
        <v>18</v>
      </c>
      <c r="G153">
        <v>18</v>
      </c>
      <c r="H153">
        <v>0</v>
      </c>
      <c r="I153">
        <v>81</v>
      </c>
      <c r="J153">
        <v>70</v>
      </c>
      <c r="K153" s="1" t="s">
        <v>2013</v>
      </c>
      <c r="L153" s="13">
        <f>services_weekly[[#This Row],[patients_admitted]]/services_weekly[[#This Row],[available_beds]]</f>
        <v>0.9</v>
      </c>
    </row>
    <row r="154" spans="2:12" x14ac:dyDescent="0.25">
      <c r="B154">
        <v>39</v>
      </c>
      <c r="C154">
        <v>10</v>
      </c>
      <c r="D154" s="1" t="s">
        <v>17</v>
      </c>
      <c r="E154">
        <v>20</v>
      </c>
      <c r="F154">
        <v>67</v>
      </c>
      <c r="G154">
        <v>20</v>
      </c>
      <c r="H154">
        <v>47</v>
      </c>
      <c r="I154">
        <v>85</v>
      </c>
      <c r="J154">
        <v>95</v>
      </c>
      <c r="K154" s="1" t="s">
        <v>2013</v>
      </c>
      <c r="L154" s="12">
        <f>services_weekly[[#This Row],[patients_admitted]]/services_weekly[[#This Row],[available_beds]]</f>
        <v>1</v>
      </c>
    </row>
    <row r="155" spans="2:12" x14ac:dyDescent="0.25">
      <c r="B155">
        <v>39</v>
      </c>
      <c r="C155">
        <v>10</v>
      </c>
      <c r="D155" s="1" t="s">
        <v>9</v>
      </c>
      <c r="E155">
        <v>36</v>
      </c>
      <c r="F155">
        <v>49</v>
      </c>
      <c r="G155">
        <v>36</v>
      </c>
      <c r="H155">
        <v>13</v>
      </c>
      <c r="I155">
        <v>86</v>
      </c>
      <c r="J155">
        <v>58</v>
      </c>
      <c r="K155" s="1" t="s">
        <v>2013</v>
      </c>
      <c r="L155" s="13">
        <f>services_weekly[[#This Row],[patients_admitted]]/services_weekly[[#This Row],[available_beds]]</f>
        <v>1</v>
      </c>
    </row>
    <row r="156" spans="2:12" x14ac:dyDescent="0.25">
      <c r="B156">
        <v>39</v>
      </c>
      <c r="C156">
        <v>10</v>
      </c>
      <c r="D156" s="1" t="s">
        <v>14</v>
      </c>
      <c r="E156">
        <v>48</v>
      </c>
      <c r="F156">
        <v>59</v>
      </c>
      <c r="G156">
        <v>48</v>
      </c>
      <c r="H156">
        <v>11</v>
      </c>
      <c r="I156">
        <v>89</v>
      </c>
      <c r="J156">
        <v>72</v>
      </c>
      <c r="K156" s="1" t="s">
        <v>2016</v>
      </c>
      <c r="L156" s="12">
        <f>services_weekly[[#This Row],[patients_admitted]]/services_weekly[[#This Row],[available_beds]]</f>
        <v>1</v>
      </c>
    </row>
    <row r="157" spans="2:12" x14ac:dyDescent="0.25">
      <c r="B157">
        <v>39</v>
      </c>
      <c r="C157">
        <v>10</v>
      </c>
      <c r="D157" s="1" t="s">
        <v>20</v>
      </c>
      <c r="E157">
        <v>11</v>
      </c>
      <c r="F157">
        <v>15</v>
      </c>
      <c r="G157">
        <v>11</v>
      </c>
      <c r="H157">
        <v>4</v>
      </c>
      <c r="I157">
        <v>95</v>
      </c>
      <c r="J157">
        <v>50</v>
      </c>
      <c r="K157" s="1" t="s">
        <v>2013</v>
      </c>
      <c r="L157" s="13">
        <f>services_weekly[[#This Row],[patients_admitted]]/services_weekly[[#This Row],[available_beds]]</f>
        <v>1</v>
      </c>
    </row>
    <row r="158" spans="2:12" x14ac:dyDescent="0.25">
      <c r="B158">
        <v>40</v>
      </c>
      <c r="C158">
        <v>10</v>
      </c>
      <c r="D158" s="1" t="s">
        <v>17</v>
      </c>
      <c r="E158">
        <v>18</v>
      </c>
      <c r="F158">
        <v>57</v>
      </c>
      <c r="G158">
        <v>18</v>
      </c>
      <c r="H158">
        <v>39</v>
      </c>
      <c r="I158">
        <v>81</v>
      </c>
      <c r="J158">
        <v>43</v>
      </c>
      <c r="K158" s="1" t="s">
        <v>2016</v>
      </c>
      <c r="L158" s="12">
        <f>services_weekly[[#This Row],[patients_admitted]]/services_weekly[[#This Row],[available_beds]]</f>
        <v>1</v>
      </c>
    </row>
    <row r="159" spans="2:12" x14ac:dyDescent="0.25">
      <c r="B159">
        <v>40</v>
      </c>
      <c r="C159">
        <v>10</v>
      </c>
      <c r="D159" s="1" t="s">
        <v>9</v>
      </c>
      <c r="E159">
        <v>46</v>
      </c>
      <c r="F159">
        <v>36</v>
      </c>
      <c r="G159">
        <v>36</v>
      </c>
      <c r="H159">
        <v>0</v>
      </c>
      <c r="I159">
        <v>83</v>
      </c>
      <c r="J159">
        <v>51</v>
      </c>
      <c r="K159" s="1" t="s">
        <v>2013</v>
      </c>
      <c r="L159" s="13">
        <f>services_weekly[[#This Row],[patients_admitted]]/services_weekly[[#This Row],[available_beds]]</f>
        <v>0.78260869565217395</v>
      </c>
    </row>
    <row r="160" spans="2:12" x14ac:dyDescent="0.25">
      <c r="B160">
        <v>40</v>
      </c>
      <c r="C160">
        <v>10</v>
      </c>
      <c r="D160" s="1" t="s">
        <v>14</v>
      </c>
      <c r="E160">
        <v>47</v>
      </c>
      <c r="F160">
        <v>107</v>
      </c>
      <c r="G160">
        <v>47</v>
      </c>
      <c r="H160">
        <v>60</v>
      </c>
      <c r="I160">
        <v>66</v>
      </c>
      <c r="J160">
        <v>52</v>
      </c>
      <c r="K160" s="1" t="s">
        <v>2013</v>
      </c>
      <c r="L160" s="12">
        <f>services_weekly[[#This Row],[patients_admitted]]/services_weekly[[#This Row],[available_beds]]</f>
        <v>1</v>
      </c>
    </row>
    <row r="161" spans="2:12" x14ac:dyDescent="0.25">
      <c r="B161">
        <v>40</v>
      </c>
      <c r="C161">
        <v>10</v>
      </c>
      <c r="D161" s="1" t="s">
        <v>20</v>
      </c>
      <c r="E161">
        <v>12</v>
      </c>
      <c r="F161">
        <v>15</v>
      </c>
      <c r="G161">
        <v>12</v>
      </c>
      <c r="H161">
        <v>3</v>
      </c>
      <c r="I161">
        <v>97</v>
      </c>
      <c r="J161">
        <v>84</v>
      </c>
      <c r="K161" s="1" t="s">
        <v>2013</v>
      </c>
      <c r="L161" s="13">
        <f>services_weekly[[#This Row],[patients_admitted]]/services_weekly[[#This Row],[available_beds]]</f>
        <v>1</v>
      </c>
    </row>
    <row r="162" spans="2:12" x14ac:dyDescent="0.25">
      <c r="B162">
        <v>41</v>
      </c>
      <c r="C162">
        <v>11</v>
      </c>
      <c r="D162" s="1" t="s">
        <v>17</v>
      </c>
      <c r="E162">
        <v>27</v>
      </c>
      <c r="F162">
        <v>92</v>
      </c>
      <c r="G162">
        <v>27</v>
      </c>
      <c r="H162">
        <v>65</v>
      </c>
      <c r="I162">
        <v>69</v>
      </c>
      <c r="J162">
        <v>88</v>
      </c>
      <c r="K162" s="1" t="s">
        <v>2013</v>
      </c>
      <c r="L162" s="12">
        <f>services_weekly[[#This Row],[patients_admitted]]/services_weekly[[#This Row],[available_beds]]</f>
        <v>1</v>
      </c>
    </row>
    <row r="163" spans="2:12" x14ac:dyDescent="0.25">
      <c r="B163">
        <v>41</v>
      </c>
      <c r="C163">
        <v>11</v>
      </c>
      <c r="D163" s="1" t="s">
        <v>9</v>
      </c>
      <c r="E163">
        <v>31</v>
      </c>
      <c r="F163">
        <v>49</v>
      </c>
      <c r="G163">
        <v>31</v>
      </c>
      <c r="H163">
        <v>18</v>
      </c>
      <c r="I163">
        <v>85</v>
      </c>
      <c r="J163">
        <v>93</v>
      </c>
      <c r="K163" s="1" t="s">
        <v>2013</v>
      </c>
      <c r="L163" s="13">
        <f>services_weekly[[#This Row],[patients_admitted]]/services_weekly[[#This Row],[available_beds]]</f>
        <v>1</v>
      </c>
    </row>
    <row r="164" spans="2:12" x14ac:dyDescent="0.25">
      <c r="B164">
        <v>41</v>
      </c>
      <c r="C164">
        <v>11</v>
      </c>
      <c r="D164" s="1" t="s">
        <v>14</v>
      </c>
      <c r="E164">
        <v>50</v>
      </c>
      <c r="F164">
        <v>70</v>
      </c>
      <c r="G164">
        <v>50</v>
      </c>
      <c r="H164">
        <v>20</v>
      </c>
      <c r="I164">
        <v>84</v>
      </c>
      <c r="J164">
        <v>53</v>
      </c>
      <c r="K164" s="1" t="s">
        <v>2013</v>
      </c>
      <c r="L164" s="12">
        <f>services_weekly[[#This Row],[patients_admitted]]/services_weekly[[#This Row],[available_beds]]</f>
        <v>1</v>
      </c>
    </row>
    <row r="165" spans="2:12" x14ac:dyDescent="0.25">
      <c r="B165">
        <v>41</v>
      </c>
      <c r="C165">
        <v>11</v>
      </c>
      <c r="D165" s="1" t="s">
        <v>20</v>
      </c>
      <c r="E165">
        <v>21</v>
      </c>
      <c r="F165">
        <v>20</v>
      </c>
      <c r="G165">
        <v>20</v>
      </c>
      <c r="H165">
        <v>0</v>
      </c>
      <c r="I165">
        <v>77</v>
      </c>
      <c r="J165">
        <v>96</v>
      </c>
      <c r="K165" s="1" t="s">
        <v>2013</v>
      </c>
      <c r="L165" s="13">
        <f>services_weekly[[#This Row],[patients_admitted]]/services_weekly[[#This Row],[available_beds]]</f>
        <v>0.95238095238095233</v>
      </c>
    </row>
    <row r="166" spans="2:12" x14ac:dyDescent="0.25">
      <c r="B166">
        <v>42</v>
      </c>
      <c r="C166">
        <v>11</v>
      </c>
      <c r="D166" s="1" t="s">
        <v>17</v>
      </c>
      <c r="E166">
        <v>24</v>
      </c>
      <c r="F166">
        <v>99</v>
      </c>
      <c r="G166">
        <v>24</v>
      </c>
      <c r="H166">
        <v>75</v>
      </c>
      <c r="I166">
        <v>67</v>
      </c>
      <c r="J166">
        <v>89</v>
      </c>
      <c r="K166" s="1" t="s">
        <v>2013</v>
      </c>
      <c r="L166" s="12">
        <f>services_weekly[[#This Row],[patients_admitted]]/services_weekly[[#This Row],[available_beds]]</f>
        <v>1</v>
      </c>
    </row>
    <row r="167" spans="2:12" x14ac:dyDescent="0.25">
      <c r="B167">
        <v>42</v>
      </c>
      <c r="C167">
        <v>11</v>
      </c>
      <c r="D167" s="1" t="s">
        <v>9</v>
      </c>
      <c r="E167">
        <v>45</v>
      </c>
      <c r="F167">
        <v>67</v>
      </c>
      <c r="G167">
        <v>45</v>
      </c>
      <c r="H167">
        <v>22</v>
      </c>
      <c r="I167">
        <v>65</v>
      </c>
      <c r="J167">
        <v>75</v>
      </c>
      <c r="K167" s="1" t="s">
        <v>2013</v>
      </c>
      <c r="L167" s="13">
        <f>services_weekly[[#This Row],[patients_admitted]]/services_weekly[[#This Row],[available_beds]]</f>
        <v>1</v>
      </c>
    </row>
    <row r="168" spans="2:12" x14ac:dyDescent="0.25">
      <c r="B168">
        <v>42</v>
      </c>
      <c r="C168">
        <v>11</v>
      </c>
      <c r="D168" s="1" t="s">
        <v>14</v>
      </c>
      <c r="E168">
        <v>67</v>
      </c>
      <c r="F168">
        <v>114</v>
      </c>
      <c r="G168">
        <v>67</v>
      </c>
      <c r="H168">
        <v>47</v>
      </c>
      <c r="I168">
        <v>65</v>
      </c>
      <c r="J168">
        <v>86</v>
      </c>
      <c r="K168" s="1" t="s">
        <v>2013</v>
      </c>
      <c r="L168" s="12">
        <f>services_weekly[[#This Row],[patients_admitted]]/services_weekly[[#This Row],[available_beds]]</f>
        <v>1</v>
      </c>
    </row>
    <row r="169" spans="2:12" x14ac:dyDescent="0.25">
      <c r="B169">
        <v>42</v>
      </c>
      <c r="C169">
        <v>11</v>
      </c>
      <c r="D169" s="1" t="s">
        <v>20</v>
      </c>
      <c r="E169">
        <v>16</v>
      </c>
      <c r="F169">
        <v>12</v>
      </c>
      <c r="G169">
        <v>12</v>
      </c>
      <c r="H169">
        <v>0</v>
      </c>
      <c r="I169">
        <v>80</v>
      </c>
      <c r="J169">
        <v>55</v>
      </c>
      <c r="K169" s="1" t="s">
        <v>2013</v>
      </c>
      <c r="L169" s="13">
        <f>services_weekly[[#This Row],[patients_admitted]]/services_weekly[[#This Row],[available_beds]]</f>
        <v>0.75</v>
      </c>
    </row>
    <row r="170" spans="2:12" x14ac:dyDescent="0.25">
      <c r="B170">
        <v>43</v>
      </c>
      <c r="C170">
        <v>11</v>
      </c>
      <c r="D170" s="1" t="s">
        <v>17</v>
      </c>
      <c r="E170">
        <v>21</v>
      </c>
      <c r="F170">
        <v>171</v>
      </c>
      <c r="G170">
        <v>21</v>
      </c>
      <c r="H170">
        <v>150</v>
      </c>
      <c r="I170">
        <v>70</v>
      </c>
      <c r="J170">
        <v>79</v>
      </c>
      <c r="K170" s="1" t="s">
        <v>2013</v>
      </c>
      <c r="L170" s="12">
        <f>services_weekly[[#This Row],[patients_admitted]]/services_weekly[[#This Row],[available_beds]]</f>
        <v>1</v>
      </c>
    </row>
    <row r="171" spans="2:12" x14ac:dyDescent="0.25">
      <c r="B171">
        <v>43</v>
      </c>
      <c r="C171">
        <v>11</v>
      </c>
      <c r="D171" s="1" t="s">
        <v>9</v>
      </c>
      <c r="E171">
        <v>50</v>
      </c>
      <c r="F171">
        <v>33</v>
      </c>
      <c r="G171">
        <v>33</v>
      </c>
      <c r="H171">
        <v>0</v>
      </c>
      <c r="I171">
        <v>62</v>
      </c>
      <c r="J171">
        <v>89</v>
      </c>
      <c r="K171" s="1" t="s">
        <v>2015</v>
      </c>
      <c r="L171" s="13">
        <f>services_weekly[[#This Row],[patients_admitted]]/services_weekly[[#This Row],[available_beds]]</f>
        <v>0.66</v>
      </c>
    </row>
    <row r="172" spans="2:12" x14ac:dyDescent="0.25">
      <c r="B172">
        <v>43</v>
      </c>
      <c r="C172">
        <v>11</v>
      </c>
      <c r="D172" s="1" t="s">
        <v>14</v>
      </c>
      <c r="E172">
        <v>42</v>
      </c>
      <c r="F172">
        <v>49</v>
      </c>
      <c r="G172">
        <v>42</v>
      </c>
      <c r="H172">
        <v>7</v>
      </c>
      <c r="I172">
        <v>79</v>
      </c>
      <c r="J172">
        <v>77</v>
      </c>
      <c r="K172" s="1" t="s">
        <v>2013</v>
      </c>
      <c r="L172" s="12">
        <f>services_weekly[[#This Row],[patients_admitted]]/services_weekly[[#This Row],[available_beds]]</f>
        <v>1</v>
      </c>
    </row>
    <row r="173" spans="2:12" x14ac:dyDescent="0.25">
      <c r="B173">
        <v>43</v>
      </c>
      <c r="C173">
        <v>11</v>
      </c>
      <c r="D173" s="1" t="s">
        <v>20</v>
      </c>
      <c r="E173">
        <v>18</v>
      </c>
      <c r="F173">
        <v>12</v>
      </c>
      <c r="G173">
        <v>12</v>
      </c>
      <c r="H173">
        <v>0</v>
      </c>
      <c r="I173">
        <v>89</v>
      </c>
      <c r="J173">
        <v>87</v>
      </c>
      <c r="K173" s="1" t="s">
        <v>2013</v>
      </c>
      <c r="L173" s="13">
        <f>services_weekly[[#This Row],[patients_admitted]]/services_weekly[[#This Row],[available_beds]]</f>
        <v>0.66666666666666663</v>
      </c>
    </row>
    <row r="174" spans="2:12" x14ac:dyDescent="0.25">
      <c r="B174">
        <v>44</v>
      </c>
      <c r="C174">
        <v>11</v>
      </c>
      <c r="D174" s="1" t="s">
        <v>17</v>
      </c>
      <c r="E174">
        <v>27</v>
      </c>
      <c r="F174">
        <v>138</v>
      </c>
      <c r="G174">
        <v>27</v>
      </c>
      <c r="H174">
        <v>111</v>
      </c>
      <c r="I174">
        <v>74</v>
      </c>
      <c r="J174">
        <v>60</v>
      </c>
      <c r="K174" s="1" t="s">
        <v>2013</v>
      </c>
      <c r="L174" s="12">
        <f>services_weekly[[#This Row],[patients_admitted]]/services_weekly[[#This Row],[available_beds]]</f>
        <v>1</v>
      </c>
    </row>
    <row r="175" spans="2:12" x14ac:dyDescent="0.25">
      <c r="B175">
        <v>44</v>
      </c>
      <c r="C175">
        <v>11</v>
      </c>
      <c r="D175" s="1" t="s">
        <v>9</v>
      </c>
      <c r="E175">
        <v>45</v>
      </c>
      <c r="F175">
        <v>28</v>
      </c>
      <c r="G175">
        <v>28</v>
      </c>
      <c r="H175">
        <v>0</v>
      </c>
      <c r="I175">
        <v>65</v>
      </c>
      <c r="J175">
        <v>75</v>
      </c>
      <c r="K175" s="1" t="s">
        <v>2013</v>
      </c>
      <c r="L175" s="13">
        <f>services_weekly[[#This Row],[patients_admitted]]/services_weekly[[#This Row],[available_beds]]</f>
        <v>0.62222222222222223</v>
      </c>
    </row>
    <row r="176" spans="2:12" x14ac:dyDescent="0.25">
      <c r="B176">
        <v>44</v>
      </c>
      <c r="C176">
        <v>11</v>
      </c>
      <c r="D176" s="1" t="s">
        <v>14</v>
      </c>
      <c r="E176">
        <v>57</v>
      </c>
      <c r="F176">
        <v>70</v>
      </c>
      <c r="G176">
        <v>57</v>
      </c>
      <c r="H176">
        <v>13</v>
      </c>
      <c r="I176">
        <v>92</v>
      </c>
      <c r="J176">
        <v>69</v>
      </c>
      <c r="K176" s="1" t="s">
        <v>2013</v>
      </c>
      <c r="L176" s="12">
        <f>services_weekly[[#This Row],[patients_admitted]]/services_weekly[[#This Row],[available_beds]]</f>
        <v>1</v>
      </c>
    </row>
    <row r="177" spans="2:12" x14ac:dyDescent="0.25">
      <c r="B177">
        <v>44</v>
      </c>
      <c r="C177">
        <v>11</v>
      </c>
      <c r="D177" s="1" t="s">
        <v>20</v>
      </c>
      <c r="E177">
        <v>12</v>
      </c>
      <c r="F177">
        <v>16</v>
      </c>
      <c r="G177">
        <v>12</v>
      </c>
      <c r="H177">
        <v>4</v>
      </c>
      <c r="I177">
        <v>73</v>
      </c>
      <c r="J177">
        <v>87</v>
      </c>
      <c r="K177" s="1" t="s">
        <v>2013</v>
      </c>
      <c r="L177" s="13">
        <f>services_weekly[[#This Row],[patients_admitted]]/services_weekly[[#This Row],[available_beds]]</f>
        <v>1</v>
      </c>
    </row>
    <row r="178" spans="2:12" x14ac:dyDescent="0.25">
      <c r="B178">
        <v>45</v>
      </c>
      <c r="C178">
        <v>12</v>
      </c>
      <c r="D178" s="1" t="s">
        <v>17</v>
      </c>
      <c r="E178">
        <v>32</v>
      </c>
      <c r="F178">
        <v>193</v>
      </c>
      <c r="G178">
        <v>32</v>
      </c>
      <c r="H178">
        <v>161</v>
      </c>
      <c r="I178">
        <v>72</v>
      </c>
      <c r="J178">
        <v>92</v>
      </c>
      <c r="K178" s="1" t="s">
        <v>2013</v>
      </c>
      <c r="L178" s="12">
        <f>services_weekly[[#This Row],[patients_admitted]]/services_weekly[[#This Row],[available_beds]]</f>
        <v>1</v>
      </c>
    </row>
    <row r="179" spans="2:12" x14ac:dyDescent="0.25">
      <c r="B179">
        <v>45</v>
      </c>
      <c r="C179">
        <v>12</v>
      </c>
      <c r="D179" s="1" t="s">
        <v>9</v>
      </c>
      <c r="E179">
        <v>32</v>
      </c>
      <c r="F179">
        <v>37</v>
      </c>
      <c r="G179">
        <v>32</v>
      </c>
      <c r="H179">
        <v>5</v>
      </c>
      <c r="I179">
        <v>64</v>
      </c>
      <c r="J179">
        <v>72</v>
      </c>
      <c r="K179" s="1" t="s">
        <v>2013</v>
      </c>
      <c r="L179" s="13">
        <f>services_weekly[[#This Row],[patients_admitted]]/services_weekly[[#This Row],[available_beds]]</f>
        <v>1</v>
      </c>
    </row>
    <row r="180" spans="2:12" x14ac:dyDescent="0.25">
      <c r="B180">
        <v>45</v>
      </c>
      <c r="C180">
        <v>12</v>
      </c>
      <c r="D180" s="1" t="s">
        <v>14</v>
      </c>
      <c r="E180">
        <v>40</v>
      </c>
      <c r="F180">
        <v>67</v>
      </c>
      <c r="G180">
        <v>40</v>
      </c>
      <c r="H180">
        <v>27</v>
      </c>
      <c r="I180">
        <v>99</v>
      </c>
      <c r="J180">
        <v>51</v>
      </c>
      <c r="K180" s="1" t="s">
        <v>2013</v>
      </c>
      <c r="L180" s="12">
        <f>services_weekly[[#This Row],[patients_admitted]]/services_weekly[[#This Row],[available_beds]]</f>
        <v>1</v>
      </c>
    </row>
    <row r="181" spans="2:12" x14ac:dyDescent="0.25">
      <c r="B181">
        <v>45</v>
      </c>
      <c r="C181">
        <v>12</v>
      </c>
      <c r="D181" s="1" t="s">
        <v>20</v>
      </c>
      <c r="E181">
        <v>18</v>
      </c>
      <c r="F181">
        <v>42</v>
      </c>
      <c r="G181">
        <v>18</v>
      </c>
      <c r="H181">
        <v>24</v>
      </c>
      <c r="I181">
        <v>70</v>
      </c>
      <c r="J181">
        <v>54</v>
      </c>
      <c r="K181" s="1" t="s">
        <v>2014</v>
      </c>
      <c r="L181" s="13">
        <f>services_weekly[[#This Row],[patients_admitted]]/services_weekly[[#This Row],[available_beds]]</f>
        <v>1</v>
      </c>
    </row>
    <row r="182" spans="2:12" x14ac:dyDescent="0.25">
      <c r="B182">
        <v>46</v>
      </c>
      <c r="C182">
        <v>12</v>
      </c>
      <c r="D182" s="1" t="s">
        <v>17</v>
      </c>
      <c r="E182">
        <v>36</v>
      </c>
      <c r="F182">
        <v>187</v>
      </c>
      <c r="G182">
        <v>36</v>
      </c>
      <c r="H182">
        <v>151</v>
      </c>
      <c r="I182">
        <v>64</v>
      </c>
      <c r="J182">
        <v>93</v>
      </c>
      <c r="K182" s="1" t="s">
        <v>2013</v>
      </c>
      <c r="L182" s="12">
        <f>services_weekly[[#This Row],[patients_admitted]]/services_weekly[[#This Row],[available_beds]]</f>
        <v>1</v>
      </c>
    </row>
    <row r="183" spans="2:12" x14ac:dyDescent="0.25">
      <c r="B183">
        <v>46</v>
      </c>
      <c r="C183">
        <v>12</v>
      </c>
      <c r="D183" s="1" t="s">
        <v>9</v>
      </c>
      <c r="E183">
        <v>52</v>
      </c>
      <c r="F183">
        <v>39</v>
      </c>
      <c r="G183">
        <v>39</v>
      </c>
      <c r="H183">
        <v>0</v>
      </c>
      <c r="I183">
        <v>68</v>
      </c>
      <c r="J183">
        <v>83</v>
      </c>
      <c r="K183" s="1" t="s">
        <v>2013</v>
      </c>
      <c r="L183" s="13">
        <f>services_weekly[[#This Row],[patients_admitted]]/services_weekly[[#This Row],[available_beds]]</f>
        <v>0.75</v>
      </c>
    </row>
    <row r="184" spans="2:12" x14ac:dyDescent="0.25">
      <c r="B184">
        <v>46</v>
      </c>
      <c r="C184">
        <v>12</v>
      </c>
      <c r="D184" s="1" t="s">
        <v>14</v>
      </c>
      <c r="E184">
        <v>41</v>
      </c>
      <c r="F184">
        <v>29</v>
      </c>
      <c r="G184">
        <v>29</v>
      </c>
      <c r="H184">
        <v>0</v>
      </c>
      <c r="I184">
        <v>81</v>
      </c>
      <c r="J184">
        <v>58</v>
      </c>
      <c r="K184" s="1" t="s">
        <v>2016</v>
      </c>
      <c r="L184" s="12">
        <f>services_weekly[[#This Row],[patients_admitted]]/services_weekly[[#This Row],[available_beds]]</f>
        <v>0.70731707317073167</v>
      </c>
    </row>
    <row r="185" spans="2:12" x14ac:dyDescent="0.25">
      <c r="B185">
        <v>46</v>
      </c>
      <c r="C185">
        <v>12</v>
      </c>
      <c r="D185" s="1" t="s">
        <v>20</v>
      </c>
      <c r="E185">
        <v>23</v>
      </c>
      <c r="F185">
        <v>28</v>
      </c>
      <c r="G185">
        <v>23</v>
      </c>
      <c r="H185">
        <v>5</v>
      </c>
      <c r="I185">
        <v>89</v>
      </c>
      <c r="J185">
        <v>75</v>
      </c>
      <c r="K185" s="1" t="s">
        <v>2014</v>
      </c>
      <c r="L185" s="13">
        <f>services_weekly[[#This Row],[patients_admitted]]/services_weekly[[#This Row],[available_beds]]</f>
        <v>1</v>
      </c>
    </row>
    <row r="186" spans="2:12" x14ac:dyDescent="0.25">
      <c r="B186">
        <v>47</v>
      </c>
      <c r="C186">
        <v>12</v>
      </c>
      <c r="D186" s="1" t="s">
        <v>17</v>
      </c>
      <c r="E186">
        <v>22</v>
      </c>
      <c r="F186">
        <v>91</v>
      </c>
      <c r="G186">
        <v>22</v>
      </c>
      <c r="H186">
        <v>69</v>
      </c>
      <c r="I186">
        <v>63</v>
      </c>
      <c r="J186">
        <v>54</v>
      </c>
      <c r="K186" s="1" t="s">
        <v>2016</v>
      </c>
      <c r="L186" s="12">
        <f>services_weekly[[#This Row],[patients_admitted]]/services_weekly[[#This Row],[available_beds]]</f>
        <v>1</v>
      </c>
    </row>
    <row r="187" spans="2:12" x14ac:dyDescent="0.25">
      <c r="B187">
        <v>47</v>
      </c>
      <c r="C187">
        <v>12</v>
      </c>
      <c r="D187" s="1" t="s">
        <v>9</v>
      </c>
      <c r="E187">
        <v>57</v>
      </c>
      <c r="F187">
        <v>48</v>
      </c>
      <c r="G187">
        <v>48</v>
      </c>
      <c r="H187">
        <v>0</v>
      </c>
      <c r="I187">
        <v>99</v>
      </c>
      <c r="J187">
        <v>57</v>
      </c>
      <c r="K187" s="1" t="s">
        <v>2013</v>
      </c>
      <c r="L187" s="13">
        <f>services_weekly[[#This Row],[patients_admitted]]/services_weekly[[#This Row],[available_beds]]</f>
        <v>0.84210526315789469</v>
      </c>
    </row>
    <row r="188" spans="2:12" x14ac:dyDescent="0.25">
      <c r="B188">
        <v>47</v>
      </c>
      <c r="C188">
        <v>12</v>
      </c>
      <c r="D188" s="1" t="s">
        <v>14</v>
      </c>
      <c r="E188">
        <v>55</v>
      </c>
      <c r="F188">
        <v>92</v>
      </c>
      <c r="G188">
        <v>55</v>
      </c>
      <c r="H188">
        <v>37</v>
      </c>
      <c r="I188">
        <v>97</v>
      </c>
      <c r="J188">
        <v>82</v>
      </c>
      <c r="K188" s="1" t="s">
        <v>2013</v>
      </c>
      <c r="L188" s="12">
        <f>services_weekly[[#This Row],[patients_admitted]]/services_weekly[[#This Row],[available_beds]]</f>
        <v>1</v>
      </c>
    </row>
    <row r="189" spans="2:12" x14ac:dyDescent="0.25">
      <c r="B189">
        <v>47</v>
      </c>
      <c r="C189">
        <v>12</v>
      </c>
      <c r="D189" s="1" t="s">
        <v>20</v>
      </c>
      <c r="E189">
        <v>13</v>
      </c>
      <c r="F189">
        <v>16</v>
      </c>
      <c r="G189">
        <v>13</v>
      </c>
      <c r="H189">
        <v>3</v>
      </c>
      <c r="I189">
        <v>76</v>
      </c>
      <c r="J189">
        <v>82</v>
      </c>
      <c r="K189" s="1" t="s">
        <v>2013</v>
      </c>
      <c r="L189" s="13">
        <f>services_weekly[[#This Row],[patients_admitted]]/services_weekly[[#This Row],[available_beds]]</f>
        <v>1</v>
      </c>
    </row>
    <row r="190" spans="2:12" x14ac:dyDescent="0.25">
      <c r="B190">
        <v>48</v>
      </c>
      <c r="C190">
        <v>12</v>
      </c>
      <c r="D190" s="1" t="s">
        <v>17</v>
      </c>
      <c r="E190">
        <v>20</v>
      </c>
      <c r="F190">
        <v>165</v>
      </c>
      <c r="G190">
        <v>20</v>
      </c>
      <c r="H190">
        <v>145</v>
      </c>
      <c r="I190">
        <v>99</v>
      </c>
      <c r="J190">
        <v>89</v>
      </c>
      <c r="K190" s="1" t="s">
        <v>2013</v>
      </c>
      <c r="L190" s="12">
        <f>services_weekly[[#This Row],[patients_admitted]]/services_weekly[[#This Row],[available_beds]]</f>
        <v>1</v>
      </c>
    </row>
    <row r="191" spans="2:12" x14ac:dyDescent="0.25">
      <c r="B191">
        <v>48</v>
      </c>
      <c r="C191">
        <v>12</v>
      </c>
      <c r="D191" s="1" t="s">
        <v>9</v>
      </c>
      <c r="E191">
        <v>49</v>
      </c>
      <c r="F191">
        <v>32</v>
      </c>
      <c r="G191">
        <v>32</v>
      </c>
      <c r="H191">
        <v>0</v>
      </c>
      <c r="I191">
        <v>65</v>
      </c>
      <c r="J191">
        <v>52</v>
      </c>
      <c r="K191" s="1" t="s">
        <v>2013</v>
      </c>
      <c r="L191" s="13">
        <f>services_weekly[[#This Row],[patients_admitted]]/services_weekly[[#This Row],[available_beds]]</f>
        <v>0.65306122448979587</v>
      </c>
    </row>
    <row r="192" spans="2:12" x14ac:dyDescent="0.25">
      <c r="B192">
        <v>48</v>
      </c>
      <c r="C192">
        <v>12</v>
      </c>
      <c r="D192" s="1" t="s">
        <v>14</v>
      </c>
      <c r="E192">
        <v>48</v>
      </c>
      <c r="F192">
        <v>105</v>
      </c>
      <c r="G192">
        <v>48</v>
      </c>
      <c r="H192">
        <v>57</v>
      </c>
      <c r="I192">
        <v>74</v>
      </c>
      <c r="J192">
        <v>96</v>
      </c>
      <c r="K192" s="1" t="s">
        <v>2013</v>
      </c>
      <c r="L192" s="12">
        <f>services_weekly[[#This Row],[patients_admitted]]/services_weekly[[#This Row],[available_beds]]</f>
        <v>1</v>
      </c>
    </row>
    <row r="193" spans="2:12" x14ac:dyDescent="0.25">
      <c r="B193">
        <v>48</v>
      </c>
      <c r="C193">
        <v>12</v>
      </c>
      <c r="D193" s="1" t="s">
        <v>20</v>
      </c>
      <c r="E193">
        <v>16</v>
      </c>
      <c r="F193">
        <v>23</v>
      </c>
      <c r="G193">
        <v>16</v>
      </c>
      <c r="H193">
        <v>7</v>
      </c>
      <c r="I193">
        <v>98</v>
      </c>
      <c r="J193">
        <v>76</v>
      </c>
      <c r="K193" s="1" t="s">
        <v>2013</v>
      </c>
      <c r="L193" s="13">
        <f>services_weekly[[#This Row],[patients_admitted]]/services_weekly[[#This Row],[available_beds]]</f>
        <v>1</v>
      </c>
    </row>
    <row r="194" spans="2:12" x14ac:dyDescent="0.25">
      <c r="B194">
        <v>49</v>
      </c>
      <c r="C194">
        <v>12</v>
      </c>
      <c r="D194" s="1" t="s">
        <v>17</v>
      </c>
      <c r="E194">
        <v>26</v>
      </c>
      <c r="F194">
        <v>137</v>
      </c>
      <c r="G194">
        <v>26</v>
      </c>
      <c r="H194">
        <v>111</v>
      </c>
      <c r="I194">
        <v>92</v>
      </c>
      <c r="J194">
        <v>86</v>
      </c>
      <c r="K194" s="1" t="s">
        <v>2013</v>
      </c>
      <c r="L194" s="12">
        <f>services_weekly[[#This Row],[patients_admitted]]/services_weekly[[#This Row],[available_beds]]</f>
        <v>1</v>
      </c>
    </row>
    <row r="195" spans="2:12" x14ac:dyDescent="0.25">
      <c r="B195">
        <v>49</v>
      </c>
      <c r="C195">
        <v>12</v>
      </c>
      <c r="D195" s="1" t="s">
        <v>9</v>
      </c>
      <c r="E195">
        <v>26</v>
      </c>
      <c r="F195">
        <v>29</v>
      </c>
      <c r="G195">
        <v>26</v>
      </c>
      <c r="H195">
        <v>3</v>
      </c>
      <c r="I195">
        <v>81</v>
      </c>
      <c r="J195">
        <v>51</v>
      </c>
      <c r="K195" s="1" t="s">
        <v>2013</v>
      </c>
      <c r="L195" s="13">
        <f>services_weekly[[#This Row],[patients_admitted]]/services_weekly[[#This Row],[available_beds]]</f>
        <v>1</v>
      </c>
    </row>
    <row r="196" spans="2:12" x14ac:dyDescent="0.25">
      <c r="B196">
        <v>49</v>
      </c>
      <c r="C196">
        <v>12</v>
      </c>
      <c r="D196" s="1" t="s">
        <v>14</v>
      </c>
      <c r="E196">
        <v>72</v>
      </c>
      <c r="F196">
        <v>63</v>
      </c>
      <c r="G196">
        <v>63</v>
      </c>
      <c r="H196">
        <v>0</v>
      </c>
      <c r="I196">
        <v>92</v>
      </c>
      <c r="J196">
        <v>87</v>
      </c>
      <c r="K196" s="1" t="s">
        <v>2013</v>
      </c>
      <c r="L196" s="12">
        <f>services_weekly[[#This Row],[patients_admitted]]/services_weekly[[#This Row],[available_beds]]</f>
        <v>0.875</v>
      </c>
    </row>
    <row r="197" spans="2:12" x14ac:dyDescent="0.25">
      <c r="B197">
        <v>49</v>
      </c>
      <c r="C197">
        <v>12</v>
      </c>
      <c r="D197" s="1" t="s">
        <v>20</v>
      </c>
      <c r="E197">
        <v>16</v>
      </c>
      <c r="F197">
        <v>22</v>
      </c>
      <c r="G197">
        <v>16</v>
      </c>
      <c r="H197">
        <v>6</v>
      </c>
      <c r="I197">
        <v>83</v>
      </c>
      <c r="J197">
        <v>64</v>
      </c>
      <c r="K197" s="1" t="s">
        <v>2013</v>
      </c>
      <c r="L197" s="13">
        <f>services_weekly[[#This Row],[patients_admitted]]/services_weekly[[#This Row],[available_beds]]</f>
        <v>1</v>
      </c>
    </row>
    <row r="198" spans="2:12" x14ac:dyDescent="0.25">
      <c r="B198">
        <v>50</v>
      </c>
      <c r="C198">
        <v>12</v>
      </c>
      <c r="D198" s="1" t="s">
        <v>17</v>
      </c>
      <c r="E198">
        <v>24</v>
      </c>
      <c r="F198">
        <v>101</v>
      </c>
      <c r="G198">
        <v>24</v>
      </c>
      <c r="H198">
        <v>77</v>
      </c>
      <c r="I198">
        <v>63</v>
      </c>
      <c r="J198">
        <v>61</v>
      </c>
      <c r="K198" s="1" t="s">
        <v>2013</v>
      </c>
      <c r="L198" s="12">
        <f>services_weekly[[#This Row],[patients_admitted]]/services_weekly[[#This Row],[available_beds]]</f>
        <v>1</v>
      </c>
    </row>
    <row r="199" spans="2:12" x14ac:dyDescent="0.25">
      <c r="B199">
        <v>50</v>
      </c>
      <c r="C199">
        <v>12</v>
      </c>
      <c r="D199" s="1" t="s">
        <v>9</v>
      </c>
      <c r="E199">
        <v>59</v>
      </c>
      <c r="F199">
        <v>65</v>
      </c>
      <c r="G199">
        <v>59</v>
      </c>
      <c r="H199">
        <v>6</v>
      </c>
      <c r="I199">
        <v>95</v>
      </c>
      <c r="J199">
        <v>85</v>
      </c>
      <c r="K199" s="1" t="s">
        <v>2013</v>
      </c>
      <c r="L199" s="13">
        <f>services_weekly[[#This Row],[patients_admitted]]/services_weekly[[#This Row],[available_beds]]</f>
        <v>1</v>
      </c>
    </row>
    <row r="200" spans="2:12" x14ac:dyDescent="0.25">
      <c r="B200">
        <v>50</v>
      </c>
      <c r="C200">
        <v>12</v>
      </c>
      <c r="D200" s="1" t="s">
        <v>14</v>
      </c>
      <c r="E200">
        <v>72</v>
      </c>
      <c r="F200">
        <v>57</v>
      </c>
      <c r="G200">
        <v>57</v>
      </c>
      <c r="H200">
        <v>0</v>
      </c>
      <c r="I200">
        <v>79</v>
      </c>
      <c r="J200">
        <v>60</v>
      </c>
      <c r="K200" s="1" t="s">
        <v>2013</v>
      </c>
      <c r="L200" s="12">
        <f>services_weekly[[#This Row],[patients_admitted]]/services_weekly[[#This Row],[available_beds]]</f>
        <v>0.79166666666666663</v>
      </c>
    </row>
    <row r="201" spans="2:12" x14ac:dyDescent="0.25">
      <c r="B201">
        <v>50</v>
      </c>
      <c r="C201">
        <v>12</v>
      </c>
      <c r="D201" s="1" t="s">
        <v>20</v>
      </c>
      <c r="E201">
        <v>22</v>
      </c>
      <c r="F201">
        <v>13</v>
      </c>
      <c r="G201">
        <v>13</v>
      </c>
      <c r="H201">
        <v>0</v>
      </c>
      <c r="I201">
        <v>65</v>
      </c>
      <c r="J201">
        <v>57</v>
      </c>
      <c r="K201" s="1" t="s">
        <v>2013</v>
      </c>
      <c r="L201" s="13">
        <f>services_weekly[[#This Row],[patients_admitted]]/services_weekly[[#This Row],[available_beds]]</f>
        <v>0.59090909090909094</v>
      </c>
    </row>
    <row r="202" spans="2:12" x14ac:dyDescent="0.25">
      <c r="B202">
        <v>51</v>
      </c>
      <c r="C202">
        <v>12</v>
      </c>
      <c r="D202" s="1" t="s">
        <v>17</v>
      </c>
      <c r="E202">
        <v>31</v>
      </c>
      <c r="F202">
        <v>123</v>
      </c>
      <c r="G202">
        <v>31</v>
      </c>
      <c r="H202">
        <v>92</v>
      </c>
      <c r="I202">
        <v>71</v>
      </c>
      <c r="J202">
        <v>75</v>
      </c>
      <c r="K202" s="1" t="s">
        <v>2013</v>
      </c>
      <c r="L202" s="12">
        <f>services_weekly[[#This Row],[patients_admitted]]/services_weekly[[#This Row],[available_beds]]</f>
        <v>1</v>
      </c>
    </row>
    <row r="203" spans="2:12" x14ac:dyDescent="0.25">
      <c r="B203">
        <v>51</v>
      </c>
      <c r="C203">
        <v>12</v>
      </c>
      <c r="D203" s="1" t="s">
        <v>9</v>
      </c>
      <c r="E203">
        <v>63</v>
      </c>
      <c r="F203">
        <v>48</v>
      </c>
      <c r="G203">
        <v>48</v>
      </c>
      <c r="H203">
        <v>0</v>
      </c>
      <c r="I203">
        <v>84</v>
      </c>
      <c r="J203">
        <v>82</v>
      </c>
      <c r="K203" s="1" t="s">
        <v>2013</v>
      </c>
      <c r="L203" s="13">
        <f>services_weekly[[#This Row],[patients_admitted]]/services_weekly[[#This Row],[available_beds]]</f>
        <v>0.76190476190476186</v>
      </c>
    </row>
    <row r="204" spans="2:12" x14ac:dyDescent="0.25">
      <c r="B204">
        <v>51</v>
      </c>
      <c r="C204">
        <v>12</v>
      </c>
      <c r="D204" s="1" t="s">
        <v>14</v>
      </c>
      <c r="E204">
        <v>74</v>
      </c>
      <c r="F204">
        <v>285</v>
      </c>
      <c r="G204">
        <v>74</v>
      </c>
      <c r="H204">
        <v>211</v>
      </c>
      <c r="I204">
        <v>95</v>
      </c>
      <c r="J204">
        <v>89</v>
      </c>
      <c r="K204" s="1" t="s">
        <v>2014</v>
      </c>
      <c r="L204" s="12">
        <f>services_weekly[[#This Row],[patients_admitted]]/services_weekly[[#This Row],[available_beds]]</f>
        <v>1</v>
      </c>
    </row>
    <row r="205" spans="2:12" x14ac:dyDescent="0.25">
      <c r="B205">
        <v>51</v>
      </c>
      <c r="C205">
        <v>12</v>
      </c>
      <c r="D205" s="1" t="s">
        <v>20</v>
      </c>
      <c r="E205">
        <v>18</v>
      </c>
      <c r="F205">
        <v>15</v>
      </c>
      <c r="G205">
        <v>15</v>
      </c>
      <c r="H205">
        <v>0</v>
      </c>
      <c r="I205">
        <v>87</v>
      </c>
      <c r="J205">
        <v>80</v>
      </c>
      <c r="K205" s="1" t="s">
        <v>2013</v>
      </c>
      <c r="L205" s="13">
        <f>services_weekly[[#This Row],[patients_admitted]]/services_weekly[[#This Row],[available_beds]]</f>
        <v>0.83333333333333337</v>
      </c>
    </row>
    <row r="206" spans="2:12" x14ac:dyDescent="0.25">
      <c r="B206">
        <v>52</v>
      </c>
      <c r="C206">
        <v>12</v>
      </c>
      <c r="D206" s="1" t="s">
        <v>17</v>
      </c>
      <c r="E206">
        <v>26</v>
      </c>
      <c r="F206">
        <v>130</v>
      </c>
      <c r="G206">
        <v>26</v>
      </c>
      <c r="H206">
        <v>104</v>
      </c>
      <c r="I206">
        <v>88</v>
      </c>
      <c r="J206">
        <v>63</v>
      </c>
      <c r="K206" s="1" t="s">
        <v>2013</v>
      </c>
      <c r="L206" s="12">
        <f>services_weekly[[#This Row],[patients_admitted]]/services_weekly[[#This Row],[available_beds]]</f>
        <v>1</v>
      </c>
    </row>
    <row r="207" spans="2:12" x14ac:dyDescent="0.25">
      <c r="B207">
        <v>52</v>
      </c>
      <c r="C207">
        <v>12</v>
      </c>
      <c r="D207" s="1" t="s">
        <v>9</v>
      </c>
      <c r="E207">
        <v>53</v>
      </c>
      <c r="F207">
        <v>39</v>
      </c>
      <c r="G207">
        <v>39</v>
      </c>
      <c r="H207">
        <v>0</v>
      </c>
      <c r="I207">
        <v>82</v>
      </c>
      <c r="J207">
        <v>50</v>
      </c>
      <c r="K207" s="1" t="s">
        <v>2013</v>
      </c>
      <c r="L207" s="13">
        <f>services_weekly[[#This Row],[patients_admitted]]/services_weekly[[#This Row],[available_beds]]</f>
        <v>0.73584905660377353</v>
      </c>
    </row>
    <row r="208" spans="2:12" x14ac:dyDescent="0.25">
      <c r="B208">
        <v>52</v>
      </c>
      <c r="C208">
        <v>12</v>
      </c>
      <c r="D208" s="1" t="s">
        <v>14</v>
      </c>
      <c r="E208">
        <v>65</v>
      </c>
      <c r="F208">
        <v>225</v>
      </c>
      <c r="G208">
        <v>65</v>
      </c>
      <c r="H208">
        <v>160</v>
      </c>
      <c r="I208">
        <v>82</v>
      </c>
      <c r="J208">
        <v>40</v>
      </c>
      <c r="K208" s="1" t="s">
        <v>2014</v>
      </c>
      <c r="L208" s="12">
        <f>services_weekly[[#This Row],[patients_admitted]]/services_weekly[[#This Row],[available_beds]]</f>
        <v>1</v>
      </c>
    </row>
    <row r="209" spans="2:12" x14ac:dyDescent="0.25">
      <c r="B209">
        <v>52</v>
      </c>
      <c r="C209">
        <v>12</v>
      </c>
      <c r="D209" s="1" t="s">
        <v>20</v>
      </c>
      <c r="E209">
        <v>22</v>
      </c>
      <c r="F209">
        <v>24</v>
      </c>
      <c r="G209">
        <v>22</v>
      </c>
      <c r="H209">
        <v>2</v>
      </c>
      <c r="I209">
        <v>80</v>
      </c>
      <c r="J209">
        <v>96</v>
      </c>
      <c r="K209" s="1" t="s">
        <v>2013</v>
      </c>
      <c r="L209" s="14">
        <f>services_weekly[[#This Row],[patients_admitted]]/services_weekly[[#This Row],[available_beds]]</f>
        <v>1</v>
      </c>
    </row>
  </sheetData>
  <conditionalFormatting sqref="L1:L209">
    <cfRule type="colorScale" priority="1">
      <colorScale>
        <cfvo type="min"/>
        <cfvo type="percentile" val="50"/>
        <cfvo type="max"/>
        <color rgb="FF63BE7B"/>
        <color rgb="FFFFEB84"/>
        <color rgb="FFF8696B"/>
      </colorScale>
    </cfRule>
  </conditionalFormatting>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C34DE-86BE-4D76-91F1-F6AD7EE148E2}">
  <dimension ref="A1:N1001"/>
  <sheetViews>
    <sheetView workbookViewId="0">
      <selection activeCell="O9" sqref="O9"/>
    </sheetView>
  </sheetViews>
  <sheetFormatPr defaultRowHeight="15" x14ac:dyDescent="0.25"/>
  <cols>
    <col min="1" max="1" width="24.5703125" style="10" customWidth="1"/>
    <col min="2" max="2" width="14" bestFit="1" customWidth="1"/>
    <col min="3" max="3" width="23" bestFit="1" customWidth="1"/>
    <col min="4" max="4" width="6.42578125" bestFit="1" customWidth="1"/>
    <col min="5" max="5" width="13.7109375" bestFit="1" customWidth="1"/>
    <col min="6" max="6" width="17.140625" bestFit="1" customWidth="1"/>
    <col min="7" max="7" width="16.7109375" bestFit="1" customWidth="1"/>
    <col min="8" max="8" width="13.85546875" bestFit="1" customWidth="1"/>
    <col min="9" max="9" width="16.7109375" style="19" customWidth="1"/>
    <col min="10" max="10" width="13.5703125" customWidth="1"/>
    <col min="11" max="12" width="28.28515625" customWidth="1"/>
    <col min="13" max="13" width="28.42578125" customWidth="1"/>
    <col min="14" max="14" width="23.7109375" customWidth="1"/>
  </cols>
  <sheetData>
    <row r="1" spans="2:14" x14ac:dyDescent="0.25">
      <c r="B1" t="s">
        <v>0</v>
      </c>
      <c r="C1" t="s">
        <v>1</v>
      </c>
      <c r="D1" t="s">
        <v>2</v>
      </c>
      <c r="E1" t="s">
        <v>3</v>
      </c>
      <c r="F1" t="s">
        <v>4</v>
      </c>
      <c r="G1" t="s">
        <v>5</v>
      </c>
      <c r="H1" t="s">
        <v>6</v>
      </c>
      <c r="I1" s="19" t="s">
        <v>2242</v>
      </c>
      <c r="J1" t="s">
        <v>2244</v>
      </c>
      <c r="K1" t="s">
        <v>2252</v>
      </c>
      <c r="L1" t="s">
        <v>2257</v>
      </c>
      <c r="M1" t="s">
        <v>2250</v>
      </c>
      <c r="N1" s="11" t="s">
        <v>2243</v>
      </c>
    </row>
    <row r="2" spans="2:14" x14ac:dyDescent="0.25">
      <c r="B2" s="1" t="s">
        <v>7</v>
      </c>
      <c r="C2" s="1" t="s">
        <v>8</v>
      </c>
      <c r="D2">
        <v>24</v>
      </c>
      <c r="E2" s="2">
        <v>45732</v>
      </c>
      <c r="F2" s="2">
        <v>45738</v>
      </c>
      <c r="G2" s="1" t="s">
        <v>9</v>
      </c>
      <c r="H2">
        <v>61</v>
      </c>
      <c r="I2" s="19">
        <f>patients[[#This Row],[departure_date]]-patients[[#This Row],[arrival_date]]</f>
        <v>6</v>
      </c>
      <c r="J2" t="str">
        <f>IF(patients[[#This Row],[age]] &lt; 18,"0-17",IF(patients[[#This Row],[age]] &lt; 40,"18-39",IF(patients[[#This Row],[age]] &lt; 65,"40-64","65+")))</f>
        <v>18-39</v>
      </c>
      <c r="K2" s="1" t="str">
        <f>TEXT(patients[[#This Row],[arrival_date]],"[$-409]mmmm")</f>
        <v>March</v>
      </c>
      <c r="L2" s="1">
        <f>MATCH(K2, {"January";"February";"March";"April";"May";"June";"July";"August";"September";"October";"November";"December"}, 0)</f>
        <v>3</v>
      </c>
      <c r="M2" s="1" t="str" cm="1">
        <f t="array" ref="M2">IF(patients[[#This Row],[length_of_stay]]&gt;patients!$N$2:$N$2,"Over average","Less than average")</f>
        <v>Less than average</v>
      </c>
      <c r="N2" s="15">
        <f>AVERAGE(patients[length_of_stay])</f>
        <v>7.407</v>
      </c>
    </row>
    <row r="3" spans="2:14" x14ac:dyDescent="0.25">
      <c r="B3" s="1" t="s">
        <v>10</v>
      </c>
      <c r="C3" s="1" t="s">
        <v>11</v>
      </c>
      <c r="D3">
        <v>6</v>
      </c>
      <c r="E3" s="2">
        <v>46004</v>
      </c>
      <c r="F3" s="2">
        <v>46005</v>
      </c>
      <c r="G3" s="1" t="s">
        <v>9</v>
      </c>
      <c r="H3">
        <v>83</v>
      </c>
      <c r="I3" s="19">
        <f>patients[[#This Row],[departure_date]]-patients[[#This Row],[arrival_date]]</f>
        <v>1</v>
      </c>
      <c r="J3" t="str">
        <f>IF(patients[[#This Row],[age]] &lt; 18,"0-17",IF(patients[[#This Row],[age]] &lt; 40,"18-39",IF(patients[[#This Row],[age]] &lt; 65,"40-64","65+")))</f>
        <v>0-17</v>
      </c>
      <c r="K3" s="1" t="str">
        <f>TEXT(patients[[#This Row],[arrival_date]],"[$-409]mmmm")</f>
        <v>December</v>
      </c>
      <c r="L3" s="1">
        <f>MATCH(K3, {"January";"February";"March";"April";"May";"June";"July";"August";"September";"October";"November";"December"}, 0)</f>
        <v>12</v>
      </c>
      <c r="M3" s="1" t="str" cm="1">
        <f t="array" ref="M3">IF(patients[[#This Row],[length_of_stay]]&gt;patients!$N$2:$N$2,"Over average","Less than average")</f>
        <v>Less than average</v>
      </c>
    </row>
    <row r="4" spans="2:14" x14ac:dyDescent="0.25">
      <c r="B4" s="1" t="s">
        <v>12</v>
      </c>
      <c r="C4" s="1" t="s">
        <v>13</v>
      </c>
      <c r="D4">
        <v>24</v>
      </c>
      <c r="E4" s="2">
        <v>45837</v>
      </c>
      <c r="F4" s="2">
        <v>45843</v>
      </c>
      <c r="G4" s="1" t="s">
        <v>14</v>
      </c>
      <c r="H4">
        <v>83</v>
      </c>
      <c r="I4" s="19">
        <f>patients[[#This Row],[departure_date]]-patients[[#This Row],[arrival_date]]</f>
        <v>6</v>
      </c>
      <c r="J4" t="str">
        <f>IF(patients[[#This Row],[age]] &lt; 18,"0-17",IF(patients[[#This Row],[age]] &lt; 40,"18-39",IF(patients[[#This Row],[age]] &lt; 65,"40-64","65+")))</f>
        <v>18-39</v>
      </c>
      <c r="K4" s="1" t="str">
        <f>TEXT(patients[[#This Row],[arrival_date]],"[$-409]mmmm")</f>
        <v>June</v>
      </c>
      <c r="L4" s="1">
        <f>MATCH(K4, {"January";"February";"March";"April";"May";"June";"July";"August";"September";"October";"November";"December"}, 0)</f>
        <v>6</v>
      </c>
      <c r="M4" s="1" t="str" cm="1">
        <f t="array" ref="M4">IF(patients[[#This Row],[length_of_stay]]&gt;patients!$N$2:$N$2,"Over average","Less than average")</f>
        <v>Less than average</v>
      </c>
    </row>
    <row r="5" spans="2:14" x14ac:dyDescent="0.25">
      <c r="B5" s="1" t="s">
        <v>15</v>
      </c>
      <c r="C5" s="1" t="s">
        <v>16</v>
      </c>
      <c r="D5">
        <v>32</v>
      </c>
      <c r="E5" s="2">
        <v>45942</v>
      </c>
      <c r="F5" s="2">
        <v>45953</v>
      </c>
      <c r="G5" s="1" t="s">
        <v>17</v>
      </c>
      <c r="H5">
        <v>81</v>
      </c>
      <c r="I5" s="19">
        <f>patients[[#This Row],[departure_date]]-patients[[#This Row],[arrival_date]]</f>
        <v>11</v>
      </c>
      <c r="J5" t="str">
        <f>IF(patients[[#This Row],[age]] &lt; 18,"0-17",IF(patients[[#This Row],[age]] &lt; 40,"18-39",IF(patients[[#This Row],[age]] &lt; 65,"40-64","65+")))</f>
        <v>18-39</v>
      </c>
      <c r="K5" s="1" t="str">
        <f>TEXT(patients[[#This Row],[arrival_date]],"[$-409]mmmm")</f>
        <v>October</v>
      </c>
      <c r="L5" s="1">
        <f>MATCH(K5, {"January";"February";"March";"April";"May";"June";"July";"August";"September";"October";"November";"December"}, 0)</f>
        <v>10</v>
      </c>
      <c r="M5" s="1" t="str" cm="1">
        <f t="array" ref="M5">IF(patients[[#This Row],[length_of_stay]]&gt;patients!$N$2:$N$2,"Over average","Less than average")</f>
        <v>Over average</v>
      </c>
    </row>
    <row r="6" spans="2:14" x14ac:dyDescent="0.25">
      <c r="B6" s="1" t="s">
        <v>18</v>
      </c>
      <c r="C6" s="1" t="s">
        <v>19</v>
      </c>
      <c r="D6">
        <v>25</v>
      </c>
      <c r="E6" s="2">
        <v>45706</v>
      </c>
      <c r="F6" s="2">
        <v>45713</v>
      </c>
      <c r="G6" s="1" t="s">
        <v>20</v>
      </c>
      <c r="H6">
        <v>76</v>
      </c>
      <c r="I6" s="19">
        <f>patients[[#This Row],[departure_date]]-patients[[#This Row],[arrival_date]]</f>
        <v>7</v>
      </c>
      <c r="J6" t="str">
        <f>IF(patients[[#This Row],[age]] &lt; 18,"0-17",IF(patients[[#This Row],[age]] &lt; 40,"18-39",IF(patients[[#This Row],[age]] &lt; 65,"40-64","65+")))</f>
        <v>18-39</v>
      </c>
      <c r="K6" s="1" t="str">
        <f>TEXT(patients[[#This Row],[arrival_date]],"[$-409]mmmm")</f>
        <v>February</v>
      </c>
      <c r="L6" s="1">
        <f>MATCH(K6, {"January";"February";"March";"April";"May";"June";"July";"August";"September";"October";"November";"December"}, 0)</f>
        <v>2</v>
      </c>
      <c r="M6" s="1" t="str" cm="1">
        <f t="array" ref="M6">IF(patients[[#This Row],[length_of_stay]]&gt;patients!$N$2:$N$2,"Over average","Less than average")</f>
        <v>Less than average</v>
      </c>
    </row>
    <row r="7" spans="2:14" x14ac:dyDescent="0.25">
      <c r="B7" s="1" t="s">
        <v>21</v>
      </c>
      <c r="C7" s="1" t="s">
        <v>22</v>
      </c>
      <c r="D7">
        <v>83</v>
      </c>
      <c r="E7" s="2">
        <v>45834</v>
      </c>
      <c r="F7" s="2">
        <v>45838</v>
      </c>
      <c r="G7" s="1" t="s">
        <v>17</v>
      </c>
      <c r="H7">
        <v>81</v>
      </c>
      <c r="I7" s="19">
        <f>patients[[#This Row],[departure_date]]-patients[[#This Row],[arrival_date]]</f>
        <v>4</v>
      </c>
      <c r="J7" t="str">
        <f>IF(patients[[#This Row],[age]] &lt; 18,"0-17",IF(patients[[#This Row],[age]] &lt; 40,"18-39",IF(patients[[#This Row],[age]] &lt; 65,"40-64","65+")))</f>
        <v>65+</v>
      </c>
      <c r="K7" s="1" t="str">
        <f>TEXT(patients[[#This Row],[arrival_date]],"[$-409]mmmm")</f>
        <v>June</v>
      </c>
      <c r="L7" s="1">
        <f>MATCH(K7, {"January";"February";"March";"April";"May";"June";"July";"August";"September";"October";"November";"December"}, 0)</f>
        <v>6</v>
      </c>
      <c r="M7" s="1" t="str" cm="1">
        <f t="array" ref="M7">IF(patients[[#This Row],[length_of_stay]]&gt;patients!$N$2:$N$2,"Over average","Less than average")</f>
        <v>Less than average</v>
      </c>
    </row>
    <row r="8" spans="2:14" x14ac:dyDescent="0.25">
      <c r="B8" s="1" t="s">
        <v>23</v>
      </c>
      <c r="C8" s="1" t="s">
        <v>24</v>
      </c>
      <c r="D8">
        <v>62</v>
      </c>
      <c r="E8" s="2">
        <v>46017</v>
      </c>
      <c r="F8" s="2">
        <v>46018</v>
      </c>
      <c r="G8" s="1" t="s">
        <v>17</v>
      </c>
      <c r="H8">
        <v>66</v>
      </c>
      <c r="I8" s="19">
        <f>patients[[#This Row],[departure_date]]-patients[[#This Row],[arrival_date]]</f>
        <v>1</v>
      </c>
      <c r="J8" t="str">
        <f>IF(patients[[#This Row],[age]] &lt; 18,"0-17",IF(patients[[#This Row],[age]] &lt; 40,"18-39",IF(patients[[#This Row],[age]] &lt; 65,"40-64","65+")))</f>
        <v>40-64</v>
      </c>
      <c r="K8" s="1" t="str">
        <f>TEXT(patients[[#This Row],[arrival_date]],"[$-409]mmmm")</f>
        <v>December</v>
      </c>
      <c r="L8" s="1">
        <f>MATCH(K8, {"January";"February";"March";"April";"May";"June";"July";"August";"September";"October";"November";"December"}, 0)</f>
        <v>12</v>
      </c>
      <c r="M8" s="1" t="str" cm="1">
        <f t="array" ref="M8">IF(patients[[#This Row],[length_of_stay]]&gt;patients!$N$2:$N$2,"Over average","Less than average")</f>
        <v>Less than average</v>
      </c>
    </row>
    <row r="9" spans="2:14" x14ac:dyDescent="0.25">
      <c r="B9" s="1" t="s">
        <v>25</v>
      </c>
      <c r="C9" s="1" t="s">
        <v>26</v>
      </c>
      <c r="D9">
        <v>0</v>
      </c>
      <c r="E9" s="2">
        <v>45798</v>
      </c>
      <c r="F9" s="2">
        <v>45812</v>
      </c>
      <c r="G9" s="1" t="s">
        <v>20</v>
      </c>
      <c r="H9">
        <v>82</v>
      </c>
      <c r="I9" s="19">
        <f>patients[[#This Row],[departure_date]]-patients[[#This Row],[arrival_date]]</f>
        <v>14</v>
      </c>
      <c r="J9" t="str">
        <f>IF(patients[[#This Row],[age]] &lt; 18,"0-17",IF(patients[[#This Row],[age]] &lt; 40,"18-39",IF(patients[[#This Row],[age]] &lt; 65,"40-64","65+")))</f>
        <v>0-17</v>
      </c>
      <c r="K9" s="1" t="str">
        <f>TEXT(patients[[#This Row],[arrival_date]],"[$-409]mmmm")</f>
        <v>May</v>
      </c>
      <c r="L9" s="1">
        <f>MATCH(K9, {"January";"February";"March";"April";"May";"June";"July";"August";"September";"October";"November";"December"}, 0)</f>
        <v>5</v>
      </c>
      <c r="M9" s="1" t="str" cm="1">
        <f t="array" ref="M9">IF(patients[[#This Row],[length_of_stay]]&gt;patients!$N$2:$N$2,"Over average","Less than average")</f>
        <v>Over average</v>
      </c>
    </row>
    <row r="10" spans="2:14" x14ac:dyDescent="0.25">
      <c r="B10" s="1" t="s">
        <v>27</v>
      </c>
      <c r="C10" s="1" t="s">
        <v>28</v>
      </c>
      <c r="D10">
        <v>50</v>
      </c>
      <c r="E10" s="2">
        <v>45868</v>
      </c>
      <c r="F10" s="2">
        <v>45882</v>
      </c>
      <c r="G10" s="1" t="s">
        <v>14</v>
      </c>
      <c r="H10">
        <v>91</v>
      </c>
      <c r="I10" s="19">
        <f>patients[[#This Row],[departure_date]]-patients[[#This Row],[arrival_date]]</f>
        <v>14</v>
      </c>
      <c r="J10" t="str">
        <f>IF(patients[[#This Row],[age]] &lt; 18,"0-17",IF(patients[[#This Row],[age]] &lt; 40,"18-39",IF(patients[[#This Row],[age]] &lt; 65,"40-64","65+")))</f>
        <v>40-64</v>
      </c>
      <c r="K10" s="1" t="str">
        <f>TEXT(patients[[#This Row],[arrival_date]],"[$-409]mmmm")</f>
        <v>July</v>
      </c>
      <c r="L10" s="1">
        <f>MATCH(K10, {"January";"February";"March";"April";"May";"June";"July";"August";"September";"October";"November";"December"}, 0)</f>
        <v>7</v>
      </c>
      <c r="M10" s="1" t="str" cm="1">
        <f t="array" ref="M10">IF(patients[[#This Row],[length_of_stay]]&gt;patients!$N$2:$N$2,"Over average","Less than average")</f>
        <v>Over average</v>
      </c>
    </row>
    <row r="11" spans="2:14" x14ac:dyDescent="0.25">
      <c r="B11" s="1" t="s">
        <v>29</v>
      </c>
      <c r="C11" s="1" t="s">
        <v>30</v>
      </c>
      <c r="D11">
        <v>29</v>
      </c>
      <c r="E11" s="2">
        <v>45962</v>
      </c>
      <c r="F11" s="2">
        <v>45975</v>
      </c>
      <c r="G11" s="1" t="s">
        <v>17</v>
      </c>
      <c r="H11">
        <v>88</v>
      </c>
      <c r="I11" s="19">
        <f>patients[[#This Row],[departure_date]]-patients[[#This Row],[arrival_date]]</f>
        <v>13</v>
      </c>
      <c r="J11" t="str">
        <f>IF(patients[[#This Row],[age]] &lt; 18,"0-17",IF(patients[[#This Row],[age]] &lt; 40,"18-39",IF(patients[[#This Row],[age]] &lt; 65,"40-64","65+")))</f>
        <v>18-39</v>
      </c>
      <c r="K11" s="1" t="str">
        <f>TEXT(patients[[#This Row],[arrival_date]],"[$-409]mmmm")</f>
        <v>November</v>
      </c>
      <c r="L11" s="1">
        <f>MATCH(K11, {"January";"February";"March";"April";"May";"June";"July";"August";"September";"October";"November";"December"}, 0)</f>
        <v>11</v>
      </c>
      <c r="M11" s="1" t="str" cm="1">
        <f t="array" ref="M11">IF(patients[[#This Row],[length_of_stay]]&gt;patients!$N$2:$N$2,"Over average","Less than average")</f>
        <v>Over average</v>
      </c>
    </row>
    <row r="12" spans="2:14" x14ac:dyDescent="0.25">
      <c r="B12" s="1" t="s">
        <v>31</v>
      </c>
      <c r="C12" s="1" t="s">
        <v>32</v>
      </c>
      <c r="D12">
        <v>29</v>
      </c>
      <c r="E12" s="2">
        <v>45676</v>
      </c>
      <c r="F12" s="2">
        <v>45678</v>
      </c>
      <c r="G12" s="1" t="s">
        <v>20</v>
      </c>
      <c r="H12">
        <v>60</v>
      </c>
      <c r="I12" s="19">
        <f>patients[[#This Row],[departure_date]]-patients[[#This Row],[arrival_date]]</f>
        <v>2</v>
      </c>
      <c r="J12" t="str">
        <f>IF(patients[[#This Row],[age]] &lt; 18,"0-17",IF(patients[[#This Row],[age]] &lt; 40,"18-39",IF(patients[[#This Row],[age]] &lt; 65,"40-64","65+")))</f>
        <v>18-39</v>
      </c>
      <c r="K12" s="1" t="str">
        <f>TEXT(patients[[#This Row],[arrival_date]],"[$-409]mmmm")</f>
        <v>January</v>
      </c>
      <c r="L12" s="1">
        <f>MATCH(K12, {"January";"February";"March";"April";"May";"June";"July";"August";"September";"October";"November";"December"}, 0)</f>
        <v>1</v>
      </c>
      <c r="M12" s="1" t="str" cm="1">
        <f t="array" ref="M12">IF(patients[[#This Row],[length_of_stay]]&gt;patients!$N$2:$N$2,"Over average","Less than average")</f>
        <v>Less than average</v>
      </c>
    </row>
    <row r="13" spans="2:14" x14ac:dyDescent="0.25">
      <c r="B13" s="1" t="s">
        <v>33</v>
      </c>
      <c r="C13" s="1" t="s">
        <v>34</v>
      </c>
      <c r="D13">
        <v>77</v>
      </c>
      <c r="E13" s="2">
        <v>45832</v>
      </c>
      <c r="F13" s="2">
        <v>45834</v>
      </c>
      <c r="G13" s="1" t="s">
        <v>14</v>
      </c>
      <c r="H13">
        <v>61</v>
      </c>
      <c r="I13" s="19">
        <f>patients[[#This Row],[departure_date]]-patients[[#This Row],[arrival_date]]</f>
        <v>2</v>
      </c>
      <c r="J13" t="str">
        <f>IF(patients[[#This Row],[age]] &lt; 18,"0-17",IF(patients[[#This Row],[age]] &lt; 40,"18-39",IF(patients[[#This Row],[age]] &lt; 65,"40-64","65+")))</f>
        <v>65+</v>
      </c>
      <c r="K13" s="1" t="str">
        <f>TEXT(patients[[#This Row],[arrival_date]],"[$-409]mmmm")</f>
        <v>June</v>
      </c>
      <c r="L13" s="1">
        <f>MATCH(K13, {"January";"February";"March";"April";"May";"June";"July";"August";"September";"October";"November";"December"}, 0)</f>
        <v>6</v>
      </c>
      <c r="M13" s="1" t="str" cm="1">
        <f t="array" ref="M13">IF(patients[[#This Row],[length_of_stay]]&gt;patients!$N$2:$N$2,"Over average","Less than average")</f>
        <v>Less than average</v>
      </c>
    </row>
    <row r="14" spans="2:14" x14ac:dyDescent="0.25">
      <c r="B14" s="1" t="s">
        <v>35</v>
      </c>
      <c r="C14" s="1" t="s">
        <v>36</v>
      </c>
      <c r="D14">
        <v>37</v>
      </c>
      <c r="E14" s="2">
        <v>45976</v>
      </c>
      <c r="F14" s="2">
        <v>45980</v>
      </c>
      <c r="G14" s="1" t="s">
        <v>14</v>
      </c>
      <c r="H14">
        <v>60</v>
      </c>
      <c r="I14" s="19">
        <f>patients[[#This Row],[departure_date]]-patients[[#This Row],[arrival_date]]</f>
        <v>4</v>
      </c>
      <c r="J14" t="str">
        <f>IF(patients[[#This Row],[age]] &lt; 18,"0-17",IF(patients[[#This Row],[age]] &lt; 40,"18-39",IF(patients[[#This Row],[age]] &lt; 65,"40-64","65+")))</f>
        <v>18-39</v>
      </c>
      <c r="K14" s="1" t="str">
        <f>TEXT(patients[[#This Row],[arrival_date]],"[$-409]mmmm")</f>
        <v>November</v>
      </c>
      <c r="L14" s="1">
        <f>MATCH(K14, {"January";"February";"March";"April";"May";"June";"July";"August";"September";"October";"November";"December"}, 0)</f>
        <v>11</v>
      </c>
      <c r="M14" s="1" t="str" cm="1">
        <f t="array" ref="M14">IF(patients[[#This Row],[length_of_stay]]&gt;patients!$N$2:$N$2,"Over average","Less than average")</f>
        <v>Less than average</v>
      </c>
    </row>
    <row r="15" spans="2:14" x14ac:dyDescent="0.25">
      <c r="B15" s="1" t="s">
        <v>37</v>
      </c>
      <c r="C15" s="1" t="s">
        <v>38</v>
      </c>
      <c r="D15">
        <v>7</v>
      </c>
      <c r="E15" s="2">
        <v>45712</v>
      </c>
      <c r="F15" s="2">
        <v>45719</v>
      </c>
      <c r="G15" s="1" t="s">
        <v>17</v>
      </c>
      <c r="H15">
        <v>62</v>
      </c>
      <c r="I15" s="19">
        <f>patients[[#This Row],[departure_date]]-patients[[#This Row],[arrival_date]]</f>
        <v>7</v>
      </c>
      <c r="J15" t="str">
        <f>IF(patients[[#This Row],[age]] &lt; 18,"0-17",IF(patients[[#This Row],[age]] &lt; 40,"18-39",IF(patients[[#This Row],[age]] &lt; 65,"40-64","65+")))</f>
        <v>0-17</v>
      </c>
      <c r="K15" s="1" t="str">
        <f>TEXT(patients[[#This Row],[arrival_date]],"[$-409]mmmm")</f>
        <v>February</v>
      </c>
      <c r="L15" s="1">
        <f>MATCH(K15, {"January";"February";"March";"April";"May";"June";"July";"August";"September";"October";"November";"December"}, 0)</f>
        <v>2</v>
      </c>
      <c r="M15" s="1" t="str" cm="1">
        <f t="array" ref="M15">IF(patients[[#This Row],[length_of_stay]]&gt;patients!$N$2:$N$2,"Over average","Less than average")</f>
        <v>Less than average</v>
      </c>
    </row>
    <row r="16" spans="2:14" x14ac:dyDescent="0.25">
      <c r="B16" s="1" t="s">
        <v>39</v>
      </c>
      <c r="C16" s="1" t="s">
        <v>40</v>
      </c>
      <c r="D16">
        <v>31</v>
      </c>
      <c r="E16" s="2">
        <v>45819</v>
      </c>
      <c r="F16" s="2">
        <v>45831</v>
      </c>
      <c r="G16" s="1" t="s">
        <v>9</v>
      </c>
      <c r="H16">
        <v>92</v>
      </c>
      <c r="I16" s="19">
        <f>patients[[#This Row],[departure_date]]-patients[[#This Row],[arrival_date]]</f>
        <v>12</v>
      </c>
      <c r="J16" t="str">
        <f>IF(patients[[#This Row],[age]] &lt; 18,"0-17",IF(patients[[#This Row],[age]] &lt; 40,"18-39",IF(patients[[#This Row],[age]] &lt; 65,"40-64","65+")))</f>
        <v>18-39</v>
      </c>
      <c r="K16" s="1" t="str">
        <f>TEXT(patients[[#This Row],[arrival_date]],"[$-409]mmmm")</f>
        <v>June</v>
      </c>
      <c r="L16" s="1">
        <f>MATCH(K16, {"January";"February";"March";"April";"May";"June";"July";"August";"September";"October";"November";"December"}, 0)</f>
        <v>6</v>
      </c>
      <c r="M16" s="1" t="str" cm="1">
        <f t="array" ref="M16">IF(patients[[#This Row],[length_of_stay]]&gt;patients!$N$2:$N$2,"Over average","Less than average")</f>
        <v>Over average</v>
      </c>
    </row>
    <row r="17" spans="2:13" x14ac:dyDescent="0.25">
      <c r="B17" s="1" t="s">
        <v>41</v>
      </c>
      <c r="C17" s="1" t="s">
        <v>42</v>
      </c>
      <c r="D17">
        <v>86</v>
      </c>
      <c r="E17" s="2">
        <v>45945</v>
      </c>
      <c r="F17" s="2">
        <v>45947</v>
      </c>
      <c r="G17" s="1" t="s">
        <v>14</v>
      </c>
      <c r="H17">
        <v>66</v>
      </c>
      <c r="I17" s="19">
        <f>patients[[#This Row],[departure_date]]-patients[[#This Row],[arrival_date]]</f>
        <v>2</v>
      </c>
      <c r="J17" t="str">
        <f>IF(patients[[#This Row],[age]] &lt; 18,"0-17",IF(patients[[#This Row],[age]] &lt; 40,"18-39",IF(patients[[#This Row],[age]] &lt; 65,"40-64","65+")))</f>
        <v>65+</v>
      </c>
      <c r="K17" s="1" t="str">
        <f>TEXT(patients[[#This Row],[arrival_date]],"[$-409]mmmm")</f>
        <v>October</v>
      </c>
      <c r="L17" s="1">
        <f>MATCH(K17, {"January";"February";"March";"April";"May";"June";"July";"August";"September";"October";"November";"December"}, 0)</f>
        <v>10</v>
      </c>
      <c r="M17" s="1" t="str" cm="1">
        <f t="array" ref="M17">IF(patients[[#This Row],[length_of_stay]]&gt;patients!$N$2:$N$2,"Over average","Less than average")</f>
        <v>Less than average</v>
      </c>
    </row>
    <row r="18" spans="2:13" x14ac:dyDescent="0.25">
      <c r="B18" s="1" t="s">
        <v>43</v>
      </c>
      <c r="C18" s="1" t="s">
        <v>44</v>
      </c>
      <c r="D18">
        <v>7</v>
      </c>
      <c r="E18" s="2">
        <v>45970</v>
      </c>
      <c r="F18" s="2">
        <v>45977</v>
      </c>
      <c r="G18" s="1" t="s">
        <v>17</v>
      </c>
      <c r="H18">
        <v>62</v>
      </c>
      <c r="I18" s="19">
        <f>patients[[#This Row],[departure_date]]-patients[[#This Row],[arrival_date]]</f>
        <v>7</v>
      </c>
      <c r="J18" t="str">
        <f>IF(patients[[#This Row],[age]] &lt; 18,"0-17",IF(patients[[#This Row],[age]] &lt; 40,"18-39",IF(patients[[#This Row],[age]] &lt; 65,"40-64","65+")))</f>
        <v>0-17</v>
      </c>
      <c r="K18" s="1" t="str">
        <f>TEXT(patients[[#This Row],[arrival_date]],"[$-409]mmmm")</f>
        <v>November</v>
      </c>
      <c r="L18" s="1">
        <f>MATCH(K18, {"January";"February";"March";"April";"May";"June";"July";"August";"September";"October";"November";"December"}, 0)</f>
        <v>11</v>
      </c>
      <c r="M18" s="1" t="str" cm="1">
        <f t="array" ref="M18">IF(patients[[#This Row],[length_of_stay]]&gt;patients!$N$2:$N$2,"Over average","Less than average")</f>
        <v>Less than average</v>
      </c>
    </row>
    <row r="19" spans="2:13" x14ac:dyDescent="0.25">
      <c r="B19" s="1" t="s">
        <v>45</v>
      </c>
      <c r="C19" s="1" t="s">
        <v>46</v>
      </c>
      <c r="D19">
        <v>87</v>
      </c>
      <c r="E19" s="2">
        <v>45912</v>
      </c>
      <c r="F19" s="2">
        <v>45925</v>
      </c>
      <c r="G19" s="1" t="s">
        <v>14</v>
      </c>
      <c r="H19">
        <v>67</v>
      </c>
      <c r="I19" s="19">
        <f>patients[[#This Row],[departure_date]]-patients[[#This Row],[arrival_date]]</f>
        <v>13</v>
      </c>
      <c r="J19" t="str">
        <f>IF(patients[[#This Row],[age]] &lt; 18,"0-17",IF(patients[[#This Row],[age]] &lt; 40,"18-39",IF(patients[[#This Row],[age]] &lt; 65,"40-64","65+")))</f>
        <v>65+</v>
      </c>
      <c r="K19" s="1" t="str">
        <f>TEXT(patients[[#This Row],[arrival_date]],"[$-409]mmmm")</f>
        <v>September</v>
      </c>
      <c r="L19" s="1">
        <f>MATCH(K19, {"January";"February";"March";"April";"May";"June";"July";"August";"September";"October";"November";"December"}, 0)</f>
        <v>9</v>
      </c>
      <c r="M19" s="1" t="str" cm="1">
        <f t="array" ref="M19">IF(patients[[#This Row],[length_of_stay]]&gt;patients!$N$2:$N$2,"Over average","Less than average")</f>
        <v>Over average</v>
      </c>
    </row>
    <row r="20" spans="2:13" x14ac:dyDescent="0.25">
      <c r="B20" s="1" t="s">
        <v>47</v>
      </c>
      <c r="C20" s="1" t="s">
        <v>48</v>
      </c>
      <c r="D20">
        <v>53</v>
      </c>
      <c r="E20" s="2">
        <v>45896</v>
      </c>
      <c r="F20" s="2">
        <v>45901</v>
      </c>
      <c r="G20" s="1" t="s">
        <v>17</v>
      </c>
      <c r="H20">
        <v>62</v>
      </c>
      <c r="I20" s="19">
        <f>patients[[#This Row],[departure_date]]-patients[[#This Row],[arrival_date]]</f>
        <v>5</v>
      </c>
      <c r="J20" t="str">
        <f>IF(patients[[#This Row],[age]] &lt; 18,"0-17",IF(patients[[#This Row],[age]] &lt; 40,"18-39",IF(patients[[#This Row],[age]] &lt; 65,"40-64","65+")))</f>
        <v>40-64</v>
      </c>
      <c r="K20" s="1" t="str">
        <f>TEXT(patients[[#This Row],[arrival_date]],"[$-409]mmmm")</f>
        <v>August</v>
      </c>
      <c r="L20" s="1">
        <f>MATCH(K20, {"January";"February";"March";"April";"May";"June";"July";"August";"September";"October";"November";"December"}, 0)</f>
        <v>8</v>
      </c>
      <c r="M20" s="1" t="str" cm="1">
        <f t="array" ref="M20">IF(patients[[#This Row],[length_of_stay]]&gt;patients!$N$2:$N$2,"Over average","Less than average")</f>
        <v>Less than average</v>
      </c>
    </row>
    <row r="21" spans="2:13" x14ac:dyDescent="0.25">
      <c r="B21" s="1" t="s">
        <v>49</v>
      </c>
      <c r="C21" s="1" t="s">
        <v>50</v>
      </c>
      <c r="D21">
        <v>50</v>
      </c>
      <c r="E21" s="2">
        <v>45749</v>
      </c>
      <c r="F21" s="2">
        <v>45757</v>
      </c>
      <c r="G21" s="1" t="s">
        <v>17</v>
      </c>
      <c r="H21">
        <v>93</v>
      </c>
      <c r="I21" s="19">
        <f>patients[[#This Row],[departure_date]]-patients[[#This Row],[arrival_date]]</f>
        <v>8</v>
      </c>
      <c r="J21" t="str">
        <f>IF(patients[[#This Row],[age]] &lt; 18,"0-17",IF(patients[[#This Row],[age]] &lt; 40,"18-39",IF(patients[[#This Row],[age]] &lt; 65,"40-64","65+")))</f>
        <v>40-64</v>
      </c>
      <c r="K21" s="1" t="str">
        <f>TEXT(patients[[#This Row],[arrival_date]],"[$-409]mmmm")</f>
        <v>April</v>
      </c>
      <c r="L21" s="1">
        <f>MATCH(K21, {"January";"February";"March";"April";"May";"June";"July";"August";"September";"October";"November";"December"}, 0)</f>
        <v>4</v>
      </c>
      <c r="M21" s="1" t="str" cm="1">
        <f t="array" ref="M21">IF(patients[[#This Row],[length_of_stay]]&gt;patients!$N$2:$N$2,"Over average","Less than average")</f>
        <v>Over average</v>
      </c>
    </row>
    <row r="22" spans="2:13" x14ac:dyDescent="0.25">
      <c r="B22" s="1" t="s">
        <v>51</v>
      </c>
      <c r="C22" s="1" t="s">
        <v>52</v>
      </c>
      <c r="D22">
        <v>34</v>
      </c>
      <c r="E22" s="2">
        <v>45745</v>
      </c>
      <c r="F22" s="2">
        <v>45759</v>
      </c>
      <c r="G22" s="1" t="s">
        <v>20</v>
      </c>
      <c r="H22">
        <v>91</v>
      </c>
      <c r="I22" s="19">
        <f>patients[[#This Row],[departure_date]]-patients[[#This Row],[arrival_date]]</f>
        <v>14</v>
      </c>
      <c r="J22" t="str">
        <f>IF(patients[[#This Row],[age]] &lt; 18,"0-17",IF(patients[[#This Row],[age]] &lt; 40,"18-39",IF(patients[[#This Row],[age]] &lt; 65,"40-64","65+")))</f>
        <v>18-39</v>
      </c>
      <c r="K22" s="1" t="str">
        <f>TEXT(patients[[#This Row],[arrival_date]],"[$-409]mmmm")</f>
        <v>March</v>
      </c>
      <c r="L22" s="1">
        <f>MATCH(K22, {"January";"February";"March";"April";"May";"June";"July";"August";"September";"October";"November";"December"}, 0)</f>
        <v>3</v>
      </c>
      <c r="M22" s="1" t="str" cm="1">
        <f t="array" ref="M22">IF(patients[[#This Row],[length_of_stay]]&gt;patients!$N$2:$N$2,"Over average","Less than average")</f>
        <v>Over average</v>
      </c>
    </row>
    <row r="23" spans="2:13" x14ac:dyDescent="0.25">
      <c r="B23" s="1" t="s">
        <v>53</v>
      </c>
      <c r="C23" s="1" t="s">
        <v>54</v>
      </c>
      <c r="D23">
        <v>45</v>
      </c>
      <c r="E23" s="2">
        <v>45822</v>
      </c>
      <c r="F23" s="2">
        <v>45828</v>
      </c>
      <c r="G23" s="1" t="s">
        <v>14</v>
      </c>
      <c r="H23">
        <v>80</v>
      </c>
      <c r="I23" s="19">
        <f>patients[[#This Row],[departure_date]]-patients[[#This Row],[arrival_date]]</f>
        <v>6</v>
      </c>
      <c r="J23" t="str">
        <f>IF(patients[[#This Row],[age]] &lt; 18,"0-17",IF(patients[[#This Row],[age]] &lt; 40,"18-39",IF(patients[[#This Row],[age]] &lt; 65,"40-64","65+")))</f>
        <v>40-64</v>
      </c>
      <c r="K23" s="1" t="str">
        <f>TEXT(patients[[#This Row],[arrival_date]],"[$-409]mmmm")</f>
        <v>June</v>
      </c>
      <c r="L23" s="1">
        <f>MATCH(K23, {"January";"February";"March";"April";"May";"June";"July";"August";"September";"October";"November";"December"}, 0)</f>
        <v>6</v>
      </c>
      <c r="M23" s="1" t="str" cm="1">
        <f t="array" ref="M23">IF(patients[[#This Row],[length_of_stay]]&gt;patients!$N$2:$N$2,"Over average","Less than average")</f>
        <v>Less than average</v>
      </c>
    </row>
    <row r="24" spans="2:13" x14ac:dyDescent="0.25">
      <c r="B24" s="1" t="s">
        <v>55</v>
      </c>
      <c r="C24" s="1" t="s">
        <v>56</v>
      </c>
      <c r="D24">
        <v>13</v>
      </c>
      <c r="E24" s="2">
        <v>45968</v>
      </c>
      <c r="F24" s="2">
        <v>45970</v>
      </c>
      <c r="G24" s="1" t="s">
        <v>14</v>
      </c>
      <c r="H24">
        <v>66</v>
      </c>
      <c r="I24" s="19">
        <f>patients[[#This Row],[departure_date]]-patients[[#This Row],[arrival_date]]</f>
        <v>2</v>
      </c>
      <c r="J24" t="str">
        <f>IF(patients[[#This Row],[age]] &lt; 18,"0-17",IF(patients[[#This Row],[age]] &lt; 40,"18-39",IF(patients[[#This Row],[age]] &lt; 65,"40-64","65+")))</f>
        <v>0-17</v>
      </c>
      <c r="K24" s="1" t="str">
        <f>TEXT(patients[[#This Row],[arrival_date]],"[$-409]mmmm")</f>
        <v>November</v>
      </c>
      <c r="L24" s="1">
        <f>MATCH(K24, {"January";"February";"March";"April";"May";"June";"July";"August";"September";"October";"November";"December"}, 0)</f>
        <v>11</v>
      </c>
      <c r="M24" s="1" t="str" cm="1">
        <f t="array" ref="M24">IF(patients[[#This Row],[length_of_stay]]&gt;patients!$N$2:$N$2,"Over average","Less than average")</f>
        <v>Less than average</v>
      </c>
    </row>
    <row r="25" spans="2:13" x14ac:dyDescent="0.25">
      <c r="B25" s="1" t="s">
        <v>57</v>
      </c>
      <c r="C25" s="1" t="s">
        <v>58</v>
      </c>
      <c r="D25">
        <v>73</v>
      </c>
      <c r="E25" s="2">
        <v>45818</v>
      </c>
      <c r="F25" s="2">
        <v>45825</v>
      </c>
      <c r="G25" s="1" t="s">
        <v>14</v>
      </c>
      <c r="H25">
        <v>80</v>
      </c>
      <c r="I25" s="19">
        <f>patients[[#This Row],[departure_date]]-patients[[#This Row],[arrival_date]]</f>
        <v>7</v>
      </c>
      <c r="J25" t="str">
        <f>IF(patients[[#This Row],[age]] &lt; 18,"0-17",IF(patients[[#This Row],[age]] &lt; 40,"18-39",IF(patients[[#This Row],[age]] &lt; 65,"40-64","65+")))</f>
        <v>65+</v>
      </c>
      <c r="K25" s="1" t="str">
        <f>TEXT(patients[[#This Row],[arrival_date]],"[$-409]mmmm")</f>
        <v>June</v>
      </c>
      <c r="L25" s="1">
        <f>MATCH(K25, {"January";"February";"March";"April";"May";"June";"July";"August";"September";"October";"November";"December"}, 0)</f>
        <v>6</v>
      </c>
      <c r="M25" s="1" t="str" cm="1">
        <f t="array" ref="M25">IF(patients[[#This Row],[length_of_stay]]&gt;patients!$N$2:$N$2,"Over average","Less than average")</f>
        <v>Less than average</v>
      </c>
    </row>
    <row r="26" spans="2:13" x14ac:dyDescent="0.25">
      <c r="B26" s="1" t="s">
        <v>59</v>
      </c>
      <c r="C26" s="1" t="s">
        <v>60</v>
      </c>
      <c r="D26">
        <v>18</v>
      </c>
      <c r="E26" s="2">
        <v>45693</v>
      </c>
      <c r="F26" s="2">
        <v>45706</v>
      </c>
      <c r="G26" s="1" t="s">
        <v>20</v>
      </c>
      <c r="H26">
        <v>77</v>
      </c>
      <c r="I26" s="19">
        <f>patients[[#This Row],[departure_date]]-patients[[#This Row],[arrival_date]]</f>
        <v>13</v>
      </c>
      <c r="J26" t="str">
        <f>IF(patients[[#This Row],[age]] &lt; 18,"0-17",IF(patients[[#This Row],[age]] &lt; 40,"18-39",IF(patients[[#This Row],[age]] &lt; 65,"40-64","65+")))</f>
        <v>18-39</v>
      </c>
      <c r="K26" s="1" t="str">
        <f>TEXT(patients[[#This Row],[arrival_date]],"[$-409]mmmm")</f>
        <v>February</v>
      </c>
      <c r="L26" s="1">
        <f>MATCH(K26, {"January";"February";"March";"April";"May";"June";"July";"August";"September";"October";"November";"December"}, 0)</f>
        <v>2</v>
      </c>
      <c r="M26" s="1" t="str" cm="1">
        <f t="array" ref="M26">IF(patients[[#This Row],[length_of_stay]]&gt;patients!$N$2:$N$2,"Over average","Less than average")</f>
        <v>Over average</v>
      </c>
    </row>
    <row r="27" spans="2:13" x14ac:dyDescent="0.25">
      <c r="B27" s="1" t="s">
        <v>61</v>
      </c>
      <c r="C27" s="1" t="s">
        <v>62</v>
      </c>
      <c r="D27">
        <v>1</v>
      </c>
      <c r="E27" s="2">
        <v>45960</v>
      </c>
      <c r="F27" s="2">
        <v>45965</v>
      </c>
      <c r="G27" s="1" t="s">
        <v>17</v>
      </c>
      <c r="H27">
        <v>79</v>
      </c>
      <c r="I27" s="19">
        <f>patients[[#This Row],[departure_date]]-patients[[#This Row],[arrival_date]]</f>
        <v>5</v>
      </c>
      <c r="J27" t="str">
        <f>IF(patients[[#This Row],[age]] &lt; 18,"0-17",IF(patients[[#This Row],[age]] &lt; 40,"18-39",IF(patients[[#This Row],[age]] &lt; 65,"40-64","65+")))</f>
        <v>0-17</v>
      </c>
      <c r="K27" s="1" t="str">
        <f>TEXT(patients[[#This Row],[arrival_date]],"[$-409]mmmm")</f>
        <v>October</v>
      </c>
      <c r="L27" s="1">
        <f>MATCH(K27, {"January";"February";"March";"April";"May";"June";"July";"August";"September";"October";"November";"December"}, 0)</f>
        <v>10</v>
      </c>
      <c r="M27" s="1" t="str" cm="1">
        <f t="array" ref="M27">IF(patients[[#This Row],[length_of_stay]]&gt;patients!$N$2:$N$2,"Over average","Less than average")</f>
        <v>Less than average</v>
      </c>
    </row>
    <row r="28" spans="2:13" x14ac:dyDescent="0.25">
      <c r="B28" s="1" t="s">
        <v>63</v>
      </c>
      <c r="C28" s="1" t="s">
        <v>64</v>
      </c>
      <c r="D28">
        <v>10</v>
      </c>
      <c r="E28" s="2">
        <v>45852</v>
      </c>
      <c r="F28" s="2">
        <v>45859</v>
      </c>
      <c r="G28" s="1" t="s">
        <v>9</v>
      </c>
      <c r="H28">
        <v>71</v>
      </c>
      <c r="I28" s="19">
        <f>patients[[#This Row],[departure_date]]-patients[[#This Row],[arrival_date]]</f>
        <v>7</v>
      </c>
      <c r="J28" t="str">
        <f>IF(patients[[#This Row],[age]] &lt; 18,"0-17",IF(patients[[#This Row],[age]] &lt; 40,"18-39",IF(patients[[#This Row],[age]] &lt; 65,"40-64","65+")))</f>
        <v>0-17</v>
      </c>
      <c r="K28" s="1" t="str">
        <f>TEXT(patients[[#This Row],[arrival_date]],"[$-409]mmmm")</f>
        <v>July</v>
      </c>
      <c r="L28" s="1">
        <f>MATCH(K28, {"January";"February";"March";"April";"May";"June";"July";"August";"September";"October";"November";"December"}, 0)</f>
        <v>7</v>
      </c>
      <c r="M28" s="1" t="str" cm="1">
        <f t="array" ref="M28">IF(patients[[#This Row],[length_of_stay]]&gt;patients!$N$2:$N$2,"Over average","Less than average")</f>
        <v>Less than average</v>
      </c>
    </row>
    <row r="29" spans="2:13" x14ac:dyDescent="0.25">
      <c r="B29" s="1" t="s">
        <v>65</v>
      </c>
      <c r="C29" s="1" t="s">
        <v>66</v>
      </c>
      <c r="D29">
        <v>19</v>
      </c>
      <c r="E29" s="2">
        <v>45950</v>
      </c>
      <c r="F29" s="2">
        <v>45956</v>
      </c>
      <c r="G29" s="1" t="s">
        <v>17</v>
      </c>
      <c r="H29">
        <v>89</v>
      </c>
      <c r="I29" s="19">
        <f>patients[[#This Row],[departure_date]]-patients[[#This Row],[arrival_date]]</f>
        <v>6</v>
      </c>
      <c r="J29" t="str">
        <f>IF(patients[[#This Row],[age]] &lt; 18,"0-17",IF(patients[[#This Row],[age]] &lt; 40,"18-39",IF(patients[[#This Row],[age]] &lt; 65,"40-64","65+")))</f>
        <v>18-39</v>
      </c>
      <c r="K29" s="1" t="str">
        <f>TEXT(patients[[#This Row],[arrival_date]],"[$-409]mmmm")</f>
        <v>October</v>
      </c>
      <c r="L29" s="1">
        <f>MATCH(K29, {"January";"February";"March";"April";"May";"June";"July";"August";"September";"October";"November";"December"}, 0)</f>
        <v>10</v>
      </c>
      <c r="M29" s="1" t="str" cm="1">
        <f t="array" ref="M29">IF(patients[[#This Row],[length_of_stay]]&gt;patients!$N$2:$N$2,"Over average","Less than average")</f>
        <v>Less than average</v>
      </c>
    </row>
    <row r="30" spans="2:13" x14ac:dyDescent="0.25">
      <c r="B30" s="1" t="s">
        <v>67</v>
      </c>
      <c r="C30" s="1" t="s">
        <v>68</v>
      </c>
      <c r="D30">
        <v>8</v>
      </c>
      <c r="E30" s="2">
        <v>45710</v>
      </c>
      <c r="F30" s="2">
        <v>45722</v>
      </c>
      <c r="G30" s="1" t="s">
        <v>9</v>
      </c>
      <c r="H30">
        <v>94</v>
      </c>
      <c r="I30" s="19">
        <f>patients[[#This Row],[departure_date]]-patients[[#This Row],[arrival_date]]</f>
        <v>12</v>
      </c>
      <c r="J30" t="str">
        <f>IF(patients[[#This Row],[age]] &lt; 18,"0-17",IF(patients[[#This Row],[age]] &lt; 40,"18-39",IF(patients[[#This Row],[age]] &lt; 65,"40-64","65+")))</f>
        <v>0-17</v>
      </c>
      <c r="K30" s="1" t="str">
        <f>TEXT(patients[[#This Row],[arrival_date]],"[$-409]mmmm")</f>
        <v>February</v>
      </c>
      <c r="L30" s="1">
        <f>MATCH(K30, {"January";"February";"March";"April";"May";"June";"July";"August";"September";"October";"November";"December"}, 0)</f>
        <v>2</v>
      </c>
      <c r="M30" s="1" t="str" cm="1">
        <f t="array" ref="M30">IF(patients[[#This Row],[length_of_stay]]&gt;patients!$N$2:$N$2,"Over average","Less than average")</f>
        <v>Over average</v>
      </c>
    </row>
    <row r="31" spans="2:13" x14ac:dyDescent="0.25">
      <c r="B31" s="1" t="s">
        <v>69</v>
      </c>
      <c r="C31" s="1" t="s">
        <v>70</v>
      </c>
      <c r="D31">
        <v>85</v>
      </c>
      <c r="E31" s="2">
        <v>45937</v>
      </c>
      <c r="F31" s="2">
        <v>45938</v>
      </c>
      <c r="G31" s="1" t="s">
        <v>20</v>
      </c>
      <c r="H31">
        <v>69</v>
      </c>
      <c r="I31" s="19">
        <f>patients[[#This Row],[departure_date]]-patients[[#This Row],[arrival_date]]</f>
        <v>1</v>
      </c>
      <c r="J31" t="str">
        <f>IF(patients[[#This Row],[age]] &lt; 18,"0-17",IF(patients[[#This Row],[age]] &lt; 40,"18-39",IF(patients[[#This Row],[age]] &lt; 65,"40-64","65+")))</f>
        <v>65+</v>
      </c>
      <c r="K31" s="1" t="str">
        <f>TEXT(patients[[#This Row],[arrival_date]],"[$-409]mmmm")</f>
        <v>October</v>
      </c>
      <c r="L31" s="1">
        <f>MATCH(K31, {"January";"February";"March";"April";"May";"June";"July";"August";"September";"October";"November";"December"}, 0)</f>
        <v>10</v>
      </c>
      <c r="M31" s="1" t="str" cm="1">
        <f t="array" ref="M31">IF(patients[[#This Row],[length_of_stay]]&gt;patients!$N$2:$N$2,"Over average","Less than average")</f>
        <v>Less than average</v>
      </c>
    </row>
    <row r="32" spans="2:13" x14ac:dyDescent="0.25">
      <c r="B32" s="1" t="s">
        <v>71</v>
      </c>
      <c r="C32" s="1" t="s">
        <v>72</v>
      </c>
      <c r="D32">
        <v>29</v>
      </c>
      <c r="E32" s="2">
        <v>45716</v>
      </c>
      <c r="F32" s="2">
        <v>45730</v>
      </c>
      <c r="G32" s="1" t="s">
        <v>20</v>
      </c>
      <c r="H32">
        <v>82</v>
      </c>
      <c r="I32" s="19">
        <f>patients[[#This Row],[departure_date]]-patients[[#This Row],[arrival_date]]</f>
        <v>14</v>
      </c>
      <c r="J32" t="str">
        <f>IF(patients[[#This Row],[age]] &lt; 18,"0-17",IF(patients[[#This Row],[age]] &lt; 40,"18-39",IF(patients[[#This Row],[age]] &lt; 65,"40-64","65+")))</f>
        <v>18-39</v>
      </c>
      <c r="K32" s="1" t="str">
        <f>TEXT(patients[[#This Row],[arrival_date]],"[$-409]mmmm")</f>
        <v>February</v>
      </c>
      <c r="L32" s="1">
        <f>MATCH(K32, {"January";"February";"March";"April";"May";"June";"July";"August";"September";"October";"November";"December"}, 0)</f>
        <v>2</v>
      </c>
      <c r="M32" s="1" t="str" cm="1">
        <f t="array" ref="M32">IF(patients[[#This Row],[length_of_stay]]&gt;patients!$N$2:$N$2,"Over average","Less than average")</f>
        <v>Over average</v>
      </c>
    </row>
    <row r="33" spans="2:13" x14ac:dyDescent="0.25">
      <c r="B33" s="1" t="s">
        <v>73</v>
      </c>
      <c r="C33" s="1" t="s">
        <v>74</v>
      </c>
      <c r="D33">
        <v>80</v>
      </c>
      <c r="E33" s="2">
        <v>45772</v>
      </c>
      <c r="F33" s="2">
        <v>45773</v>
      </c>
      <c r="G33" s="1" t="s">
        <v>9</v>
      </c>
      <c r="H33">
        <v>73</v>
      </c>
      <c r="I33" s="19">
        <f>patients[[#This Row],[departure_date]]-patients[[#This Row],[arrival_date]]</f>
        <v>1</v>
      </c>
      <c r="J33" t="str">
        <f>IF(patients[[#This Row],[age]] &lt; 18,"0-17",IF(patients[[#This Row],[age]] &lt; 40,"18-39",IF(patients[[#This Row],[age]] &lt; 65,"40-64","65+")))</f>
        <v>65+</v>
      </c>
      <c r="K33" s="1" t="str">
        <f>TEXT(patients[[#This Row],[arrival_date]],"[$-409]mmmm")</f>
        <v>April</v>
      </c>
      <c r="L33" s="1">
        <f>MATCH(K33, {"January";"February";"March";"April";"May";"June";"July";"August";"September";"October";"November";"December"}, 0)</f>
        <v>4</v>
      </c>
      <c r="M33" s="1" t="str" cm="1">
        <f t="array" ref="M33">IF(patients[[#This Row],[length_of_stay]]&gt;patients!$N$2:$N$2,"Over average","Less than average")</f>
        <v>Less than average</v>
      </c>
    </row>
    <row r="34" spans="2:13" x14ac:dyDescent="0.25">
      <c r="B34" s="1" t="s">
        <v>75</v>
      </c>
      <c r="C34" s="1" t="s">
        <v>76</v>
      </c>
      <c r="D34">
        <v>8</v>
      </c>
      <c r="E34" s="2">
        <v>45894</v>
      </c>
      <c r="F34" s="2">
        <v>45903</v>
      </c>
      <c r="G34" s="1" t="s">
        <v>20</v>
      </c>
      <c r="H34">
        <v>98</v>
      </c>
      <c r="I34" s="19">
        <f>patients[[#This Row],[departure_date]]-patients[[#This Row],[arrival_date]]</f>
        <v>9</v>
      </c>
      <c r="J34" t="str">
        <f>IF(patients[[#This Row],[age]] &lt; 18,"0-17",IF(patients[[#This Row],[age]] &lt; 40,"18-39",IF(patients[[#This Row],[age]] &lt; 65,"40-64","65+")))</f>
        <v>0-17</v>
      </c>
      <c r="K34" s="1" t="str">
        <f>TEXT(patients[[#This Row],[arrival_date]],"[$-409]mmmm")</f>
        <v>August</v>
      </c>
      <c r="L34" s="1">
        <f>MATCH(K34, {"January";"February";"March";"April";"May";"June";"July";"August";"September";"October";"November";"December"}, 0)</f>
        <v>8</v>
      </c>
      <c r="M34" s="1" t="str" cm="1">
        <f t="array" ref="M34">IF(patients[[#This Row],[length_of_stay]]&gt;patients!$N$2:$N$2,"Over average","Less than average")</f>
        <v>Over average</v>
      </c>
    </row>
    <row r="35" spans="2:13" x14ac:dyDescent="0.25">
      <c r="B35" s="1" t="s">
        <v>77</v>
      </c>
      <c r="C35" s="1" t="s">
        <v>78</v>
      </c>
      <c r="D35">
        <v>72</v>
      </c>
      <c r="E35" s="2">
        <v>45935</v>
      </c>
      <c r="F35" s="2">
        <v>45946</v>
      </c>
      <c r="G35" s="1" t="s">
        <v>9</v>
      </c>
      <c r="H35">
        <v>63</v>
      </c>
      <c r="I35" s="19">
        <f>patients[[#This Row],[departure_date]]-patients[[#This Row],[arrival_date]]</f>
        <v>11</v>
      </c>
      <c r="J35" t="str">
        <f>IF(patients[[#This Row],[age]] &lt; 18,"0-17",IF(patients[[#This Row],[age]] &lt; 40,"18-39",IF(patients[[#This Row],[age]] &lt; 65,"40-64","65+")))</f>
        <v>65+</v>
      </c>
      <c r="K35" s="1" t="str">
        <f>TEXT(patients[[#This Row],[arrival_date]],"[$-409]mmmm")</f>
        <v>October</v>
      </c>
      <c r="L35" s="1">
        <f>MATCH(K35, {"January";"February";"March";"April";"May";"June";"July";"August";"September";"October";"November";"December"}, 0)</f>
        <v>10</v>
      </c>
      <c r="M35" s="1" t="str" cm="1">
        <f t="array" ref="M35">IF(patients[[#This Row],[length_of_stay]]&gt;patients!$N$2:$N$2,"Over average","Less than average")</f>
        <v>Over average</v>
      </c>
    </row>
    <row r="36" spans="2:13" x14ac:dyDescent="0.25">
      <c r="B36" s="1" t="s">
        <v>79</v>
      </c>
      <c r="C36" s="1" t="s">
        <v>80</v>
      </c>
      <c r="D36">
        <v>25</v>
      </c>
      <c r="E36" s="2">
        <v>45686</v>
      </c>
      <c r="F36" s="2">
        <v>45699</v>
      </c>
      <c r="G36" s="1" t="s">
        <v>9</v>
      </c>
      <c r="H36">
        <v>93</v>
      </c>
      <c r="I36" s="19">
        <f>patients[[#This Row],[departure_date]]-patients[[#This Row],[arrival_date]]</f>
        <v>13</v>
      </c>
      <c r="J36" t="str">
        <f>IF(patients[[#This Row],[age]] &lt; 18,"0-17",IF(patients[[#This Row],[age]] &lt; 40,"18-39",IF(patients[[#This Row],[age]] &lt; 65,"40-64","65+")))</f>
        <v>18-39</v>
      </c>
      <c r="K36" s="1" t="str">
        <f>TEXT(patients[[#This Row],[arrival_date]],"[$-409]mmmm")</f>
        <v>January</v>
      </c>
      <c r="L36" s="1">
        <f>MATCH(K36, {"January";"February";"March";"April";"May";"June";"July";"August";"September";"October";"November";"December"}, 0)</f>
        <v>1</v>
      </c>
      <c r="M36" s="1" t="str" cm="1">
        <f t="array" ref="M36">IF(patients[[#This Row],[length_of_stay]]&gt;patients!$N$2:$N$2,"Over average","Less than average")</f>
        <v>Over average</v>
      </c>
    </row>
    <row r="37" spans="2:13" x14ac:dyDescent="0.25">
      <c r="B37" s="1" t="s">
        <v>81</v>
      </c>
      <c r="C37" s="1" t="s">
        <v>82</v>
      </c>
      <c r="D37">
        <v>86</v>
      </c>
      <c r="E37" s="2">
        <v>45732</v>
      </c>
      <c r="F37" s="2">
        <v>45738</v>
      </c>
      <c r="G37" s="1" t="s">
        <v>17</v>
      </c>
      <c r="H37">
        <v>77</v>
      </c>
      <c r="I37" s="19">
        <f>patients[[#This Row],[departure_date]]-patients[[#This Row],[arrival_date]]</f>
        <v>6</v>
      </c>
      <c r="J37" t="str">
        <f>IF(patients[[#This Row],[age]] &lt; 18,"0-17",IF(patients[[#This Row],[age]] &lt; 40,"18-39",IF(patients[[#This Row],[age]] &lt; 65,"40-64","65+")))</f>
        <v>65+</v>
      </c>
      <c r="K37" s="1" t="str">
        <f>TEXT(patients[[#This Row],[arrival_date]],"[$-409]mmmm")</f>
        <v>March</v>
      </c>
      <c r="L37" s="1">
        <f>MATCH(K37, {"January";"February";"March";"April";"May";"June";"July";"August";"September";"October";"November";"December"}, 0)</f>
        <v>3</v>
      </c>
      <c r="M37" s="1" t="str" cm="1">
        <f t="array" ref="M37">IF(patients[[#This Row],[length_of_stay]]&gt;patients!$N$2:$N$2,"Over average","Less than average")</f>
        <v>Less than average</v>
      </c>
    </row>
    <row r="38" spans="2:13" x14ac:dyDescent="0.25">
      <c r="B38" s="1" t="s">
        <v>83</v>
      </c>
      <c r="C38" s="1" t="s">
        <v>84</v>
      </c>
      <c r="D38">
        <v>84</v>
      </c>
      <c r="E38" s="2">
        <v>46013</v>
      </c>
      <c r="F38" s="2">
        <v>46022</v>
      </c>
      <c r="G38" s="1" t="s">
        <v>9</v>
      </c>
      <c r="H38">
        <v>97</v>
      </c>
      <c r="I38" s="19">
        <f>patients[[#This Row],[departure_date]]-patients[[#This Row],[arrival_date]]</f>
        <v>9</v>
      </c>
      <c r="J38" t="str">
        <f>IF(patients[[#This Row],[age]] &lt; 18,"0-17",IF(patients[[#This Row],[age]] &lt; 40,"18-39",IF(patients[[#This Row],[age]] &lt; 65,"40-64","65+")))</f>
        <v>65+</v>
      </c>
      <c r="K38" s="1" t="str">
        <f>TEXT(patients[[#This Row],[arrival_date]],"[$-409]mmmm")</f>
        <v>December</v>
      </c>
      <c r="L38" s="1">
        <f>MATCH(K38, {"January";"February";"March";"April";"May";"June";"July";"August";"September";"October";"November";"December"}, 0)</f>
        <v>12</v>
      </c>
      <c r="M38" s="1" t="str" cm="1">
        <f t="array" ref="M38">IF(patients[[#This Row],[length_of_stay]]&gt;patients!$N$2:$N$2,"Over average","Less than average")</f>
        <v>Over average</v>
      </c>
    </row>
    <row r="39" spans="2:13" x14ac:dyDescent="0.25">
      <c r="B39" s="1" t="s">
        <v>85</v>
      </c>
      <c r="C39" s="1" t="s">
        <v>86</v>
      </c>
      <c r="D39">
        <v>33</v>
      </c>
      <c r="E39" s="2">
        <v>45822</v>
      </c>
      <c r="F39" s="2">
        <v>45831</v>
      </c>
      <c r="G39" s="1" t="s">
        <v>17</v>
      </c>
      <c r="H39">
        <v>97</v>
      </c>
      <c r="I39" s="19">
        <f>patients[[#This Row],[departure_date]]-patients[[#This Row],[arrival_date]]</f>
        <v>9</v>
      </c>
      <c r="J39" t="str">
        <f>IF(patients[[#This Row],[age]] &lt; 18,"0-17",IF(patients[[#This Row],[age]] &lt; 40,"18-39",IF(patients[[#This Row],[age]] &lt; 65,"40-64","65+")))</f>
        <v>18-39</v>
      </c>
      <c r="K39" s="1" t="str">
        <f>TEXT(patients[[#This Row],[arrival_date]],"[$-409]mmmm")</f>
        <v>June</v>
      </c>
      <c r="L39" s="1">
        <f>MATCH(K39, {"January";"February";"March";"April";"May";"June";"July";"August";"September";"October";"November";"December"}, 0)</f>
        <v>6</v>
      </c>
      <c r="M39" s="1" t="str" cm="1">
        <f t="array" ref="M39">IF(patients[[#This Row],[length_of_stay]]&gt;patients!$N$2:$N$2,"Over average","Less than average")</f>
        <v>Over average</v>
      </c>
    </row>
    <row r="40" spans="2:13" x14ac:dyDescent="0.25">
      <c r="B40" s="1" t="s">
        <v>87</v>
      </c>
      <c r="C40" s="1" t="s">
        <v>88</v>
      </c>
      <c r="D40">
        <v>75</v>
      </c>
      <c r="E40" s="2">
        <v>45774</v>
      </c>
      <c r="F40" s="2">
        <v>45784</v>
      </c>
      <c r="G40" s="1" t="s">
        <v>14</v>
      </c>
      <c r="H40">
        <v>81</v>
      </c>
      <c r="I40" s="19">
        <f>patients[[#This Row],[departure_date]]-patients[[#This Row],[arrival_date]]</f>
        <v>10</v>
      </c>
      <c r="J40" t="str">
        <f>IF(patients[[#This Row],[age]] &lt; 18,"0-17",IF(patients[[#This Row],[age]] &lt; 40,"18-39",IF(patients[[#This Row],[age]] &lt; 65,"40-64","65+")))</f>
        <v>65+</v>
      </c>
      <c r="K40" s="1" t="str">
        <f>TEXT(patients[[#This Row],[arrival_date]],"[$-409]mmmm")</f>
        <v>April</v>
      </c>
      <c r="L40" s="1">
        <f>MATCH(K40, {"January";"February";"March";"April";"May";"June";"July";"August";"September";"October";"November";"December"}, 0)</f>
        <v>4</v>
      </c>
      <c r="M40" s="1" t="str" cm="1">
        <f t="array" ref="M40">IF(patients[[#This Row],[length_of_stay]]&gt;patients!$N$2:$N$2,"Over average","Less than average")</f>
        <v>Over average</v>
      </c>
    </row>
    <row r="41" spans="2:13" x14ac:dyDescent="0.25">
      <c r="B41" s="1" t="s">
        <v>89</v>
      </c>
      <c r="C41" s="1" t="s">
        <v>90</v>
      </c>
      <c r="D41">
        <v>84</v>
      </c>
      <c r="E41" s="2">
        <v>45970</v>
      </c>
      <c r="F41" s="2">
        <v>45976</v>
      </c>
      <c r="G41" s="1" t="s">
        <v>14</v>
      </c>
      <c r="H41">
        <v>86</v>
      </c>
      <c r="I41" s="19">
        <f>patients[[#This Row],[departure_date]]-patients[[#This Row],[arrival_date]]</f>
        <v>6</v>
      </c>
      <c r="J41" t="str">
        <f>IF(patients[[#This Row],[age]] &lt; 18,"0-17",IF(patients[[#This Row],[age]] &lt; 40,"18-39",IF(patients[[#This Row],[age]] &lt; 65,"40-64","65+")))</f>
        <v>65+</v>
      </c>
      <c r="K41" s="1" t="str">
        <f>TEXT(patients[[#This Row],[arrival_date]],"[$-409]mmmm")</f>
        <v>November</v>
      </c>
      <c r="L41" s="1">
        <f>MATCH(K41, {"January";"February";"March";"April";"May";"June";"July";"August";"September";"October";"November";"December"}, 0)</f>
        <v>11</v>
      </c>
      <c r="M41" s="1" t="str" cm="1">
        <f t="array" ref="M41">IF(patients[[#This Row],[length_of_stay]]&gt;patients!$N$2:$N$2,"Over average","Less than average")</f>
        <v>Less than average</v>
      </c>
    </row>
    <row r="42" spans="2:13" x14ac:dyDescent="0.25">
      <c r="B42" s="1" t="s">
        <v>91</v>
      </c>
      <c r="C42" s="1" t="s">
        <v>92</v>
      </c>
      <c r="D42">
        <v>39</v>
      </c>
      <c r="E42" s="2">
        <v>45925</v>
      </c>
      <c r="F42" s="2">
        <v>45938</v>
      </c>
      <c r="G42" s="1" t="s">
        <v>9</v>
      </c>
      <c r="H42">
        <v>66</v>
      </c>
      <c r="I42" s="19">
        <f>patients[[#This Row],[departure_date]]-patients[[#This Row],[arrival_date]]</f>
        <v>13</v>
      </c>
      <c r="J42" t="str">
        <f>IF(patients[[#This Row],[age]] &lt; 18,"0-17",IF(patients[[#This Row],[age]] &lt; 40,"18-39",IF(patients[[#This Row],[age]] &lt; 65,"40-64","65+")))</f>
        <v>18-39</v>
      </c>
      <c r="K42" s="1" t="str">
        <f>TEXT(patients[[#This Row],[arrival_date]],"[$-409]mmmm")</f>
        <v>September</v>
      </c>
      <c r="L42" s="1">
        <f>MATCH(K42, {"January";"February";"March";"April";"May";"June";"July";"August";"September";"October";"November";"December"}, 0)</f>
        <v>9</v>
      </c>
      <c r="M42" s="1" t="str" cm="1">
        <f t="array" ref="M42">IF(patients[[#This Row],[length_of_stay]]&gt;patients!$N$2:$N$2,"Over average","Less than average")</f>
        <v>Over average</v>
      </c>
    </row>
    <row r="43" spans="2:13" x14ac:dyDescent="0.25">
      <c r="B43" s="1" t="s">
        <v>93</v>
      </c>
      <c r="C43" s="1" t="s">
        <v>94</v>
      </c>
      <c r="D43">
        <v>9</v>
      </c>
      <c r="E43" s="2">
        <v>45847</v>
      </c>
      <c r="F43" s="2">
        <v>45857</v>
      </c>
      <c r="G43" s="1" t="s">
        <v>17</v>
      </c>
      <c r="H43">
        <v>61</v>
      </c>
      <c r="I43" s="19">
        <f>patients[[#This Row],[departure_date]]-patients[[#This Row],[arrival_date]]</f>
        <v>10</v>
      </c>
      <c r="J43" t="str">
        <f>IF(patients[[#This Row],[age]] &lt; 18,"0-17",IF(patients[[#This Row],[age]] &lt; 40,"18-39",IF(patients[[#This Row],[age]] &lt; 65,"40-64","65+")))</f>
        <v>0-17</v>
      </c>
      <c r="K43" s="1" t="str">
        <f>TEXT(patients[[#This Row],[arrival_date]],"[$-409]mmmm")</f>
        <v>July</v>
      </c>
      <c r="L43" s="1">
        <f>MATCH(K43, {"January";"February";"March";"April";"May";"June";"July";"August";"September";"October";"November";"December"}, 0)</f>
        <v>7</v>
      </c>
      <c r="M43" s="1" t="str" cm="1">
        <f t="array" ref="M43">IF(patients[[#This Row],[length_of_stay]]&gt;patients!$N$2:$N$2,"Over average","Less than average")</f>
        <v>Over average</v>
      </c>
    </row>
    <row r="44" spans="2:13" x14ac:dyDescent="0.25">
      <c r="B44" s="1" t="s">
        <v>95</v>
      </c>
      <c r="C44" s="1" t="s">
        <v>96</v>
      </c>
      <c r="D44">
        <v>53</v>
      </c>
      <c r="E44" s="2">
        <v>45850</v>
      </c>
      <c r="F44" s="2">
        <v>45853</v>
      </c>
      <c r="G44" s="1" t="s">
        <v>14</v>
      </c>
      <c r="H44">
        <v>95</v>
      </c>
      <c r="I44" s="19">
        <f>patients[[#This Row],[departure_date]]-patients[[#This Row],[arrival_date]]</f>
        <v>3</v>
      </c>
      <c r="J44" t="str">
        <f>IF(patients[[#This Row],[age]] &lt; 18,"0-17",IF(patients[[#This Row],[age]] &lt; 40,"18-39",IF(patients[[#This Row],[age]] &lt; 65,"40-64","65+")))</f>
        <v>40-64</v>
      </c>
      <c r="K44" s="1" t="str">
        <f>TEXT(patients[[#This Row],[arrival_date]],"[$-409]mmmm")</f>
        <v>July</v>
      </c>
      <c r="L44" s="1">
        <f>MATCH(K44, {"January";"February";"March";"April";"May";"June";"July";"August";"September";"October";"November";"December"}, 0)</f>
        <v>7</v>
      </c>
      <c r="M44" s="1" t="str" cm="1">
        <f t="array" ref="M44">IF(patients[[#This Row],[length_of_stay]]&gt;patients!$N$2:$N$2,"Over average","Less than average")</f>
        <v>Less than average</v>
      </c>
    </row>
    <row r="45" spans="2:13" x14ac:dyDescent="0.25">
      <c r="B45" s="1" t="s">
        <v>97</v>
      </c>
      <c r="C45" s="1" t="s">
        <v>98</v>
      </c>
      <c r="D45">
        <v>25</v>
      </c>
      <c r="E45" s="2">
        <v>45806</v>
      </c>
      <c r="F45" s="2">
        <v>45817</v>
      </c>
      <c r="G45" s="1" t="s">
        <v>17</v>
      </c>
      <c r="H45">
        <v>99</v>
      </c>
      <c r="I45" s="19">
        <f>patients[[#This Row],[departure_date]]-patients[[#This Row],[arrival_date]]</f>
        <v>11</v>
      </c>
      <c r="J45" t="str">
        <f>IF(patients[[#This Row],[age]] &lt; 18,"0-17",IF(patients[[#This Row],[age]] &lt; 40,"18-39",IF(patients[[#This Row],[age]] &lt; 65,"40-64","65+")))</f>
        <v>18-39</v>
      </c>
      <c r="K45" s="1" t="str">
        <f>TEXT(patients[[#This Row],[arrival_date]],"[$-409]mmmm")</f>
        <v>May</v>
      </c>
      <c r="L45" s="1">
        <f>MATCH(K45, {"January";"February";"March";"April";"May";"June";"July";"August";"September";"October";"November";"December"}, 0)</f>
        <v>5</v>
      </c>
      <c r="M45" s="1" t="str" cm="1">
        <f t="array" ref="M45">IF(patients[[#This Row],[length_of_stay]]&gt;patients!$N$2:$N$2,"Over average","Less than average")</f>
        <v>Over average</v>
      </c>
    </row>
    <row r="46" spans="2:13" x14ac:dyDescent="0.25">
      <c r="B46" s="1" t="s">
        <v>99</v>
      </c>
      <c r="C46" s="1" t="s">
        <v>100</v>
      </c>
      <c r="D46">
        <v>10</v>
      </c>
      <c r="E46" s="2">
        <v>45821</v>
      </c>
      <c r="F46" s="2">
        <v>45822</v>
      </c>
      <c r="G46" s="1" t="s">
        <v>20</v>
      </c>
      <c r="H46">
        <v>98</v>
      </c>
      <c r="I46" s="19">
        <f>patients[[#This Row],[departure_date]]-patients[[#This Row],[arrival_date]]</f>
        <v>1</v>
      </c>
      <c r="J46" t="str">
        <f>IF(patients[[#This Row],[age]] &lt; 18,"0-17",IF(patients[[#This Row],[age]] &lt; 40,"18-39",IF(patients[[#This Row],[age]] &lt; 65,"40-64","65+")))</f>
        <v>0-17</v>
      </c>
      <c r="K46" s="1" t="str">
        <f>TEXT(patients[[#This Row],[arrival_date]],"[$-409]mmmm")</f>
        <v>June</v>
      </c>
      <c r="L46" s="1">
        <f>MATCH(K46, {"January";"February";"March";"April";"May";"June";"July";"August";"September";"October";"November";"December"}, 0)</f>
        <v>6</v>
      </c>
      <c r="M46" s="1" t="str" cm="1">
        <f t="array" ref="M46">IF(patients[[#This Row],[length_of_stay]]&gt;patients!$N$2:$N$2,"Over average","Less than average")</f>
        <v>Less than average</v>
      </c>
    </row>
    <row r="47" spans="2:13" x14ac:dyDescent="0.25">
      <c r="B47" s="1" t="s">
        <v>101</v>
      </c>
      <c r="C47" s="1" t="s">
        <v>102</v>
      </c>
      <c r="D47">
        <v>53</v>
      </c>
      <c r="E47" s="2">
        <v>45712</v>
      </c>
      <c r="F47" s="2">
        <v>45720</v>
      </c>
      <c r="G47" s="1" t="s">
        <v>9</v>
      </c>
      <c r="H47">
        <v>81</v>
      </c>
      <c r="I47" s="19">
        <f>patients[[#This Row],[departure_date]]-patients[[#This Row],[arrival_date]]</f>
        <v>8</v>
      </c>
      <c r="J47" t="str">
        <f>IF(patients[[#This Row],[age]] &lt; 18,"0-17",IF(patients[[#This Row],[age]] &lt; 40,"18-39",IF(patients[[#This Row],[age]] &lt; 65,"40-64","65+")))</f>
        <v>40-64</v>
      </c>
      <c r="K47" s="1" t="str">
        <f>TEXT(patients[[#This Row],[arrival_date]],"[$-409]mmmm")</f>
        <v>February</v>
      </c>
      <c r="L47" s="1">
        <f>MATCH(K47, {"January";"February";"March";"April";"May";"June";"July";"August";"September";"October";"November";"December"}, 0)</f>
        <v>2</v>
      </c>
      <c r="M47" s="1" t="str" cm="1">
        <f t="array" ref="M47">IF(patients[[#This Row],[length_of_stay]]&gt;patients!$N$2:$N$2,"Over average","Less than average")</f>
        <v>Over average</v>
      </c>
    </row>
    <row r="48" spans="2:13" x14ac:dyDescent="0.25">
      <c r="B48" s="1" t="s">
        <v>103</v>
      </c>
      <c r="C48" s="1" t="s">
        <v>104</v>
      </c>
      <c r="D48">
        <v>68</v>
      </c>
      <c r="E48" s="2">
        <v>45946</v>
      </c>
      <c r="F48" s="2">
        <v>45956</v>
      </c>
      <c r="G48" s="1" t="s">
        <v>20</v>
      </c>
      <c r="H48">
        <v>95</v>
      </c>
      <c r="I48" s="19">
        <f>patients[[#This Row],[departure_date]]-patients[[#This Row],[arrival_date]]</f>
        <v>10</v>
      </c>
      <c r="J48" t="str">
        <f>IF(patients[[#This Row],[age]] &lt; 18,"0-17",IF(patients[[#This Row],[age]] &lt; 40,"18-39",IF(patients[[#This Row],[age]] &lt; 65,"40-64","65+")))</f>
        <v>65+</v>
      </c>
      <c r="K48" s="1" t="str">
        <f>TEXT(patients[[#This Row],[arrival_date]],"[$-409]mmmm")</f>
        <v>October</v>
      </c>
      <c r="L48" s="1">
        <f>MATCH(K48, {"January";"February";"March";"April";"May";"June";"July";"August";"September";"October";"November";"December"}, 0)</f>
        <v>10</v>
      </c>
      <c r="M48" s="1" t="str" cm="1">
        <f t="array" ref="M48">IF(patients[[#This Row],[length_of_stay]]&gt;patients!$N$2:$N$2,"Over average","Less than average")</f>
        <v>Over average</v>
      </c>
    </row>
    <row r="49" spans="2:13" x14ac:dyDescent="0.25">
      <c r="B49" s="1" t="s">
        <v>105</v>
      </c>
      <c r="C49" s="1" t="s">
        <v>106</v>
      </c>
      <c r="D49">
        <v>19</v>
      </c>
      <c r="E49" s="2">
        <v>45884</v>
      </c>
      <c r="F49" s="2">
        <v>45888</v>
      </c>
      <c r="G49" s="1" t="s">
        <v>14</v>
      </c>
      <c r="H49">
        <v>76</v>
      </c>
      <c r="I49" s="19">
        <f>patients[[#This Row],[departure_date]]-patients[[#This Row],[arrival_date]]</f>
        <v>4</v>
      </c>
      <c r="J49" t="str">
        <f>IF(patients[[#This Row],[age]] &lt; 18,"0-17",IF(patients[[#This Row],[age]] &lt; 40,"18-39",IF(patients[[#This Row],[age]] &lt; 65,"40-64","65+")))</f>
        <v>18-39</v>
      </c>
      <c r="K49" s="1" t="str">
        <f>TEXT(patients[[#This Row],[arrival_date]],"[$-409]mmmm")</f>
        <v>August</v>
      </c>
      <c r="L49" s="1">
        <f>MATCH(K49, {"January";"February";"March";"April";"May";"June";"July";"August";"September";"October";"November";"December"}, 0)</f>
        <v>8</v>
      </c>
      <c r="M49" s="1" t="str" cm="1">
        <f t="array" ref="M49">IF(patients[[#This Row],[length_of_stay]]&gt;patients!$N$2:$N$2,"Over average","Less than average")</f>
        <v>Less than average</v>
      </c>
    </row>
    <row r="50" spans="2:13" x14ac:dyDescent="0.25">
      <c r="B50" s="1" t="s">
        <v>107</v>
      </c>
      <c r="C50" s="1" t="s">
        <v>108</v>
      </c>
      <c r="D50">
        <v>61</v>
      </c>
      <c r="E50" s="2">
        <v>46022</v>
      </c>
      <c r="F50" s="2">
        <v>46033</v>
      </c>
      <c r="G50" s="1" t="s">
        <v>14</v>
      </c>
      <c r="H50">
        <v>93</v>
      </c>
      <c r="I50" s="19">
        <f>patients[[#This Row],[departure_date]]-patients[[#This Row],[arrival_date]]</f>
        <v>11</v>
      </c>
      <c r="J50" t="str">
        <f>IF(patients[[#This Row],[age]] &lt; 18,"0-17",IF(patients[[#This Row],[age]] &lt; 40,"18-39",IF(patients[[#This Row],[age]] &lt; 65,"40-64","65+")))</f>
        <v>40-64</v>
      </c>
      <c r="K50" s="1" t="str">
        <f>TEXT(patients[[#This Row],[arrival_date]],"[$-409]mmmm")</f>
        <v>December</v>
      </c>
      <c r="L50" s="1">
        <f>MATCH(K50, {"January";"February";"March";"April";"May";"June";"July";"August";"September";"October";"November";"December"}, 0)</f>
        <v>12</v>
      </c>
      <c r="M50" s="1" t="str" cm="1">
        <f t="array" ref="M50">IF(patients[[#This Row],[length_of_stay]]&gt;patients!$N$2:$N$2,"Over average","Less than average")</f>
        <v>Over average</v>
      </c>
    </row>
    <row r="51" spans="2:13" x14ac:dyDescent="0.25">
      <c r="B51" s="1" t="s">
        <v>109</v>
      </c>
      <c r="C51" s="1" t="s">
        <v>110</v>
      </c>
      <c r="D51">
        <v>72</v>
      </c>
      <c r="E51" s="2">
        <v>45730</v>
      </c>
      <c r="F51" s="2">
        <v>45739</v>
      </c>
      <c r="G51" s="1" t="s">
        <v>9</v>
      </c>
      <c r="H51">
        <v>99</v>
      </c>
      <c r="I51" s="19">
        <f>patients[[#This Row],[departure_date]]-patients[[#This Row],[arrival_date]]</f>
        <v>9</v>
      </c>
      <c r="J51" t="str">
        <f>IF(patients[[#This Row],[age]] &lt; 18,"0-17",IF(patients[[#This Row],[age]] &lt; 40,"18-39",IF(patients[[#This Row],[age]] &lt; 65,"40-64","65+")))</f>
        <v>65+</v>
      </c>
      <c r="K51" s="1" t="str">
        <f>TEXT(patients[[#This Row],[arrival_date]],"[$-409]mmmm")</f>
        <v>March</v>
      </c>
      <c r="L51" s="1">
        <f>MATCH(K51, {"January";"February";"March";"April";"May";"June";"July";"August";"September";"October";"November";"December"}, 0)</f>
        <v>3</v>
      </c>
      <c r="M51" s="1" t="str" cm="1">
        <f t="array" ref="M51">IF(patients[[#This Row],[length_of_stay]]&gt;patients!$N$2:$N$2,"Over average","Less than average")</f>
        <v>Over average</v>
      </c>
    </row>
    <row r="52" spans="2:13" x14ac:dyDescent="0.25">
      <c r="B52" s="1" t="s">
        <v>111</v>
      </c>
      <c r="C52" s="1" t="s">
        <v>112</v>
      </c>
      <c r="D52">
        <v>16</v>
      </c>
      <c r="E52" s="2">
        <v>45874</v>
      </c>
      <c r="F52" s="2">
        <v>45887</v>
      </c>
      <c r="G52" s="1" t="s">
        <v>17</v>
      </c>
      <c r="H52">
        <v>99</v>
      </c>
      <c r="I52" s="19">
        <f>patients[[#This Row],[departure_date]]-patients[[#This Row],[arrival_date]]</f>
        <v>13</v>
      </c>
      <c r="J52" t="str">
        <f>IF(patients[[#This Row],[age]] &lt; 18,"0-17",IF(patients[[#This Row],[age]] &lt; 40,"18-39",IF(patients[[#This Row],[age]] &lt; 65,"40-64","65+")))</f>
        <v>0-17</v>
      </c>
      <c r="K52" s="1" t="str">
        <f>TEXT(patients[[#This Row],[arrival_date]],"[$-409]mmmm")</f>
        <v>August</v>
      </c>
      <c r="L52" s="1">
        <f>MATCH(K52, {"January";"February";"March";"April";"May";"June";"July";"August";"September";"October";"November";"December"}, 0)</f>
        <v>8</v>
      </c>
      <c r="M52" s="1" t="str" cm="1">
        <f t="array" ref="M52">IF(patients[[#This Row],[length_of_stay]]&gt;patients!$N$2:$N$2,"Over average","Less than average")</f>
        <v>Over average</v>
      </c>
    </row>
    <row r="53" spans="2:13" x14ac:dyDescent="0.25">
      <c r="B53" s="1" t="s">
        <v>113</v>
      </c>
      <c r="C53" s="1" t="s">
        <v>114</v>
      </c>
      <c r="D53">
        <v>41</v>
      </c>
      <c r="E53" s="2">
        <v>45696</v>
      </c>
      <c r="F53" s="2">
        <v>45699</v>
      </c>
      <c r="G53" s="1" t="s">
        <v>17</v>
      </c>
      <c r="H53">
        <v>62</v>
      </c>
      <c r="I53" s="19">
        <f>patients[[#This Row],[departure_date]]-patients[[#This Row],[arrival_date]]</f>
        <v>3</v>
      </c>
      <c r="J53" t="str">
        <f>IF(patients[[#This Row],[age]] &lt; 18,"0-17",IF(patients[[#This Row],[age]] &lt; 40,"18-39",IF(patients[[#This Row],[age]] &lt; 65,"40-64","65+")))</f>
        <v>40-64</v>
      </c>
      <c r="K53" s="1" t="str">
        <f>TEXT(patients[[#This Row],[arrival_date]],"[$-409]mmmm")</f>
        <v>February</v>
      </c>
      <c r="L53" s="1">
        <f>MATCH(K53, {"January";"February";"March";"April";"May";"June";"July";"August";"September";"October";"November";"December"}, 0)</f>
        <v>2</v>
      </c>
      <c r="M53" s="1" t="str" cm="1">
        <f t="array" ref="M53">IF(patients[[#This Row],[length_of_stay]]&gt;patients!$N$2:$N$2,"Over average","Less than average")</f>
        <v>Less than average</v>
      </c>
    </row>
    <row r="54" spans="2:13" x14ac:dyDescent="0.25">
      <c r="B54" s="1" t="s">
        <v>115</v>
      </c>
      <c r="C54" s="1" t="s">
        <v>116</v>
      </c>
      <c r="D54">
        <v>43</v>
      </c>
      <c r="E54" s="2">
        <v>45759</v>
      </c>
      <c r="F54" s="2">
        <v>45761</v>
      </c>
      <c r="G54" s="1" t="s">
        <v>14</v>
      </c>
      <c r="H54">
        <v>71</v>
      </c>
      <c r="I54" s="19">
        <f>patients[[#This Row],[departure_date]]-patients[[#This Row],[arrival_date]]</f>
        <v>2</v>
      </c>
      <c r="J54" t="str">
        <f>IF(patients[[#This Row],[age]] &lt; 18,"0-17",IF(patients[[#This Row],[age]] &lt; 40,"18-39",IF(patients[[#This Row],[age]] &lt; 65,"40-64","65+")))</f>
        <v>40-64</v>
      </c>
      <c r="K54" s="1" t="str">
        <f>TEXT(patients[[#This Row],[arrival_date]],"[$-409]mmmm")</f>
        <v>April</v>
      </c>
      <c r="L54" s="1">
        <f>MATCH(K54, {"January";"February";"March";"April";"May";"June";"July";"August";"September";"October";"November";"December"}, 0)</f>
        <v>4</v>
      </c>
      <c r="M54" s="1" t="str" cm="1">
        <f t="array" ref="M54">IF(patients[[#This Row],[length_of_stay]]&gt;patients!$N$2:$N$2,"Over average","Less than average")</f>
        <v>Less than average</v>
      </c>
    </row>
    <row r="55" spans="2:13" x14ac:dyDescent="0.25">
      <c r="B55" s="1" t="s">
        <v>117</v>
      </c>
      <c r="C55" s="1" t="s">
        <v>118</v>
      </c>
      <c r="D55">
        <v>18</v>
      </c>
      <c r="E55" s="2">
        <v>45701</v>
      </c>
      <c r="F55" s="2">
        <v>45712</v>
      </c>
      <c r="G55" s="1" t="s">
        <v>17</v>
      </c>
      <c r="H55">
        <v>76</v>
      </c>
      <c r="I55" s="19">
        <f>patients[[#This Row],[departure_date]]-patients[[#This Row],[arrival_date]]</f>
        <v>11</v>
      </c>
      <c r="J55" t="str">
        <f>IF(patients[[#This Row],[age]] &lt; 18,"0-17",IF(patients[[#This Row],[age]] &lt; 40,"18-39",IF(patients[[#This Row],[age]] &lt; 65,"40-64","65+")))</f>
        <v>18-39</v>
      </c>
      <c r="K55" s="1" t="str">
        <f>TEXT(patients[[#This Row],[arrival_date]],"[$-409]mmmm")</f>
        <v>February</v>
      </c>
      <c r="L55" s="1">
        <f>MATCH(K55, {"January";"February";"March";"April";"May";"June";"July";"August";"September";"October";"November";"December"}, 0)</f>
        <v>2</v>
      </c>
      <c r="M55" s="1" t="str" cm="1">
        <f t="array" ref="M55">IF(patients[[#This Row],[length_of_stay]]&gt;patients!$N$2:$N$2,"Over average","Less than average")</f>
        <v>Over average</v>
      </c>
    </row>
    <row r="56" spans="2:13" x14ac:dyDescent="0.25">
      <c r="B56" s="1" t="s">
        <v>119</v>
      </c>
      <c r="C56" s="1" t="s">
        <v>120</v>
      </c>
      <c r="D56">
        <v>73</v>
      </c>
      <c r="E56" s="2">
        <v>45968</v>
      </c>
      <c r="F56" s="2">
        <v>45969</v>
      </c>
      <c r="G56" s="1" t="s">
        <v>17</v>
      </c>
      <c r="H56">
        <v>71</v>
      </c>
      <c r="I56" s="19">
        <f>patients[[#This Row],[departure_date]]-patients[[#This Row],[arrival_date]]</f>
        <v>1</v>
      </c>
      <c r="J56" t="str">
        <f>IF(patients[[#This Row],[age]] &lt; 18,"0-17",IF(patients[[#This Row],[age]] &lt; 40,"18-39",IF(patients[[#This Row],[age]] &lt; 65,"40-64","65+")))</f>
        <v>65+</v>
      </c>
      <c r="K56" s="1" t="str">
        <f>TEXT(patients[[#This Row],[arrival_date]],"[$-409]mmmm")</f>
        <v>November</v>
      </c>
      <c r="L56" s="1">
        <f>MATCH(K56, {"January";"February";"March";"April";"May";"June";"July";"August";"September";"October";"November";"December"}, 0)</f>
        <v>11</v>
      </c>
      <c r="M56" s="1" t="str" cm="1">
        <f t="array" ref="M56">IF(patients[[#This Row],[length_of_stay]]&gt;patients!$N$2:$N$2,"Over average","Less than average")</f>
        <v>Less than average</v>
      </c>
    </row>
    <row r="57" spans="2:13" x14ac:dyDescent="0.25">
      <c r="B57" s="1" t="s">
        <v>121</v>
      </c>
      <c r="C57" s="1" t="s">
        <v>122</v>
      </c>
      <c r="D57">
        <v>61</v>
      </c>
      <c r="E57" s="2">
        <v>45873</v>
      </c>
      <c r="F57" s="2">
        <v>45876</v>
      </c>
      <c r="G57" s="1" t="s">
        <v>20</v>
      </c>
      <c r="H57">
        <v>67</v>
      </c>
      <c r="I57" s="19">
        <f>patients[[#This Row],[departure_date]]-patients[[#This Row],[arrival_date]]</f>
        <v>3</v>
      </c>
      <c r="J57" t="str">
        <f>IF(patients[[#This Row],[age]] &lt; 18,"0-17",IF(patients[[#This Row],[age]] &lt; 40,"18-39",IF(patients[[#This Row],[age]] &lt; 65,"40-64","65+")))</f>
        <v>40-64</v>
      </c>
      <c r="K57" s="1" t="str">
        <f>TEXT(patients[[#This Row],[arrival_date]],"[$-409]mmmm")</f>
        <v>August</v>
      </c>
      <c r="L57" s="1">
        <f>MATCH(K57, {"January";"February";"March";"April";"May";"June";"July";"August";"September";"October";"November";"December"}, 0)</f>
        <v>8</v>
      </c>
      <c r="M57" s="1" t="str" cm="1">
        <f t="array" ref="M57">IF(patients[[#This Row],[length_of_stay]]&gt;patients!$N$2:$N$2,"Over average","Less than average")</f>
        <v>Less than average</v>
      </c>
    </row>
    <row r="58" spans="2:13" x14ac:dyDescent="0.25">
      <c r="B58" s="1" t="s">
        <v>123</v>
      </c>
      <c r="C58" s="1" t="s">
        <v>124</v>
      </c>
      <c r="D58">
        <v>20</v>
      </c>
      <c r="E58" s="2">
        <v>45872</v>
      </c>
      <c r="F58" s="2">
        <v>45877</v>
      </c>
      <c r="G58" s="1" t="s">
        <v>17</v>
      </c>
      <c r="H58">
        <v>75</v>
      </c>
      <c r="I58" s="19">
        <f>patients[[#This Row],[departure_date]]-patients[[#This Row],[arrival_date]]</f>
        <v>5</v>
      </c>
      <c r="J58" t="str">
        <f>IF(patients[[#This Row],[age]] &lt; 18,"0-17",IF(patients[[#This Row],[age]] &lt; 40,"18-39",IF(patients[[#This Row],[age]] &lt; 65,"40-64","65+")))</f>
        <v>18-39</v>
      </c>
      <c r="K58" s="1" t="str">
        <f>TEXT(patients[[#This Row],[arrival_date]],"[$-409]mmmm")</f>
        <v>August</v>
      </c>
      <c r="L58" s="1">
        <f>MATCH(K58, {"January";"February";"March";"April";"May";"June";"July";"August";"September";"October";"November";"December"}, 0)</f>
        <v>8</v>
      </c>
      <c r="M58" s="1" t="str" cm="1">
        <f t="array" ref="M58">IF(patients[[#This Row],[length_of_stay]]&gt;patients!$N$2:$N$2,"Over average","Less than average")</f>
        <v>Less than average</v>
      </c>
    </row>
    <row r="59" spans="2:13" x14ac:dyDescent="0.25">
      <c r="B59" s="1" t="s">
        <v>125</v>
      </c>
      <c r="C59" s="1" t="s">
        <v>126</v>
      </c>
      <c r="D59">
        <v>69</v>
      </c>
      <c r="E59" s="2">
        <v>45682</v>
      </c>
      <c r="F59" s="2">
        <v>45684</v>
      </c>
      <c r="G59" s="1" t="s">
        <v>20</v>
      </c>
      <c r="H59">
        <v>84</v>
      </c>
      <c r="I59" s="19">
        <f>patients[[#This Row],[departure_date]]-patients[[#This Row],[arrival_date]]</f>
        <v>2</v>
      </c>
      <c r="J59" t="str">
        <f>IF(patients[[#This Row],[age]] &lt; 18,"0-17",IF(patients[[#This Row],[age]] &lt; 40,"18-39",IF(patients[[#This Row],[age]] &lt; 65,"40-64","65+")))</f>
        <v>65+</v>
      </c>
      <c r="K59" s="1" t="str">
        <f>TEXT(patients[[#This Row],[arrival_date]],"[$-409]mmmm")</f>
        <v>January</v>
      </c>
      <c r="L59" s="1">
        <f>MATCH(K59, {"January";"February";"March";"April";"May";"June";"July";"August";"September";"October";"November";"December"}, 0)</f>
        <v>1</v>
      </c>
      <c r="M59" s="1" t="str" cm="1">
        <f t="array" ref="M59">IF(patients[[#This Row],[length_of_stay]]&gt;patients!$N$2:$N$2,"Over average","Less than average")</f>
        <v>Less than average</v>
      </c>
    </row>
    <row r="60" spans="2:13" x14ac:dyDescent="0.25">
      <c r="B60" s="1" t="s">
        <v>127</v>
      </c>
      <c r="C60" s="1" t="s">
        <v>128</v>
      </c>
      <c r="D60">
        <v>11</v>
      </c>
      <c r="E60" s="2">
        <v>45716</v>
      </c>
      <c r="F60" s="2">
        <v>45726</v>
      </c>
      <c r="G60" s="1" t="s">
        <v>14</v>
      </c>
      <c r="H60">
        <v>85</v>
      </c>
      <c r="I60" s="19">
        <f>patients[[#This Row],[departure_date]]-patients[[#This Row],[arrival_date]]</f>
        <v>10</v>
      </c>
      <c r="J60" t="str">
        <f>IF(patients[[#This Row],[age]] &lt; 18,"0-17",IF(patients[[#This Row],[age]] &lt; 40,"18-39",IF(patients[[#This Row],[age]] &lt; 65,"40-64","65+")))</f>
        <v>0-17</v>
      </c>
      <c r="K60" s="1" t="str">
        <f>TEXT(patients[[#This Row],[arrival_date]],"[$-409]mmmm")</f>
        <v>February</v>
      </c>
      <c r="L60" s="1">
        <f>MATCH(K60, {"January";"February";"March";"April";"May";"June";"July";"August";"September";"October";"November";"December"}, 0)</f>
        <v>2</v>
      </c>
      <c r="M60" s="1" t="str" cm="1">
        <f t="array" ref="M60">IF(patients[[#This Row],[length_of_stay]]&gt;patients!$N$2:$N$2,"Over average","Less than average")</f>
        <v>Over average</v>
      </c>
    </row>
    <row r="61" spans="2:13" x14ac:dyDescent="0.25">
      <c r="B61" s="1" t="s">
        <v>129</v>
      </c>
      <c r="C61" s="1" t="s">
        <v>130</v>
      </c>
      <c r="D61">
        <v>46</v>
      </c>
      <c r="E61" s="2">
        <v>45923</v>
      </c>
      <c r="F61" s="2">
        <v>45930</v>
      </c>
      <c r="G61" s="1" t="s">
        <v>20</v>
      </c>
      <c r="H61">
        <v>76</v>
      </c>
      <c r="I61" s="19">
        <f>patients[[#This Row],[departure_date]]-patients[[#This Row],[arrival_date]]</f>
        <v>7</v>
      </c>
      <c r="J61" t="str">
        <f>IF(patients[[#This Row],[age]] &lt; 18,"0-17",IF(patients[[#This Row],[age]] &lt; 40,"18-39",IF(patients[[#This Row],[age]] &lt; 65,"40-64","65+")))</f>
        <v>40-64</v>
      </c>
      <c r="K61" s="1" t="str">
        <f>TEXT(patients[[#This Row],[arrival_date]],"[$-409]mmmm")</f>
        <v>September</v>
      </c>
      <c r="L61" s="1">
        <f>MATCH(K61, {"January";"February";"March";"April";"May";"June";"July";"August";"September";"October";"November";"December"}, 0)</f>
        <v>9</v>
      </c>
      <c r="M61" s="1" t="str" cm="1">
        <f t="array" ref="M61">IF(patients[[#This Row],[length_of_stay]]&gt;patients!$N$2:$N$2,"Over average","Less than average")</f>
        <v>Less than average</v>
      </c>
    </row>
    <row r="62" spans="2:13" x14ac:dyDescent="0.25">
      <c r="B62" s="1" t="s">
        <v>131</v>
      </c>
      <c r="C62" s="1" t="s">
        <v>132</v>
      </c>
      <c r="D62">
        <v>22</v>
      </c>
      <c r="E62" s="2">
        <v>45743</v>
      </c>
      <c r="F62" s="2">
        <v>45753</v>
      </c>
      <c r="G62" s="1" t="s">
        <v>9</v>
      </c>
      <c r="H62">
        <v>66</v>
      </c>
      <c r="I62" s="19">
        <f>patients[[#This Row],[departure_date]]-patients[[#This Row],[arrival_date]]</f>
        <v>10</v>
      </c>
      <c r="J62" t="str">
        <f>IF(patients[[#This Row],[age]] &lt; 18,"0-17",IF(patients[[#This Row],[age]] &lt; 40,"18-39",IF(patients[[#This Row],[age]] &lt; 65,"40-64","65+")))</f>
        <v>18-39</v>
      </c>
      <c r="K62" s="1" t="str">
        <f>TEXT(patients[[#This Row],[arrival_date]],"[$-409]mmmm")</f>
        <v>March</v>
      </c>
      <c r="L62" s="1">
        <f>MATCH(K62, {"January";"February";"March";"April";"May";"June";"July";"August";"September";"October";"November";"December"}, 0)</f>
        <v>3</v>
      </c>
      <c r="M62" s="1" t="str" cm="1">
        <f t="array" ref="M62">IF(patients[[#This Row],[length_of_stay]]&gt;patients!$N$2:$N$2,"Over average","Less than average")</f>
        <v>Over average</v>
      </c>
    </row>
    <row r="63" spans="2:13" x14ac:dyDescent="0.25">
      <c r="B63" s="1" t="s">
        <v>133</v>
      </c>
      <c r="C63" s="1" t="s">
        <v>134</v>
      </c>
      <c r="D63">
        <v>13</v>
      </c>
      <c r="E63" s="2">
        <v>45774</v>
      </c>
      <c r="F63" s="2">
        <v>45781</v>
      </c>
      <c r="G63" s="1" t="s">
        <v>14</v>
      </c>
      <c r="H63">
        <v>68</v>
      </c>
      <c r="I63" s="19">
        <f>patients[[#This Row],[departure_date]]-patients[[#This Row],[arrival_date]]</f>
        <v>7</v>
      </c>
      <c r="J63" t="str">
        <f>IF(patients[[#This Row],[age]] &lt; 18,"0-17",IF(patients[[#This Row],[age]] &lt; 40,"18-39",IF(patients[[#This Row],[age]] &lt; 65,"40-64","65+")))</f>
        <v>0-17</v>
      </c>
      <c r="K63" s="1" t="str">
        <f>TEXT(patients[[#This Row],[arrival_date]],"[$-409]mmmm")</f>
        <v>April</v>
      </c>
      <c r="L63" s="1">
        <f>MATCH(K63, {"January";"February";"March";"April";"May";"June";"July";"August";"September";"October";"November";"December"}, 0)</f>
        <v>4</v>
      </c>
      <c r="M63" s="1" t="str" cm="1">
        <f t="array" ref="M63">IF(patients[[#This Row],[length_of_stay]]&gt;patients!$N$2:$N$2,"Over average","Less than average")</f>
        <v>Less than average</v>
      </c>
    </row>
    <row r="64" spans="2:13" x14ac:dyDescent="0.25">
      <c r="B64" s="1" t="s">
        <v>135</v>
      </c>
      <c r="C64" s="1" t="s">
        <v>136</v>
      </c>
      <c r="D64">
        <v>47</v>
      </c>
      <c r="E64" s="2">
        <v>45972</v>
      </c>
      <c r="F64" s="2">
        <v>45979</v>
      </c>
      <c r="G64" s="1" t="s">
        <v>20</v>
      </c>
      <c r="H64">
        <v>88</v>
      </c>
      <c r="I64" s="19">
        <f>patients[[#This Row],[departure_date]]-patients[[#This Row],[arrival_date]]</f>
        <v>7</v>
      </c>
      <c r="J64" t="str">
        <f>IF(patients[[#This Row],[age]] &lt; 18,"0-17",IF(patients[[#This Row],[age]] &lt; 40,"18-39",IF(patients[[#This Row],[age]] &lt; 65,"40-64","65+")))</f>
        <v>40-64</v>
      </c>
      <c r="K64" s="1" t="str">
        <f>TEXT(patients[[#This Row],[arrival_date]],"[$-409]mmmm")</f>
        <v>November</v>
      </c>
      <c r="L64" s="1">
        <f>MATCH(K64, {"January";"February";"March";"April";"May";"June";"July";"August";"September";"October";"November";"December"}, 0)</f>
        <v>11</v>
      </c>
      <c r="M64" s="1" t="str" cm="1">
        <f t="array" ref="M64">IF(patients[[#This Row],[length_of_stay]]&gt;patients!$N$2:$N$2,"Over average","Less than average")</f>
        <v>Less than average</v>
      </c>
    </row>
    <row r="65" spans="2:13" x14ac:dyDescent="0.25">
      <c r="B65" s="1" t="s">
        <v>137</v>
      </c>
      <c r="C65" s="1" t="s">
        <v>138</v>
      </c>
      <c r="D65">
        <v>81</v>
      </c>
      <c r="E65" s="2">
        <v>45760</v>
      </c>
      <c r="F65" s="2">
        <v>45761</v>
      </c>
      <c r="G65" s="1" t="s">
        <v>14</v>
      </c>
      <c r="H65">
        <v>73</v>
      </c>
      <c r="I65" s="19">
        <f>patients[[#This Row],[departure_date]]-patients[[#This Row],[arrival_date]]</f>
        <v>1</v>
      </c>
      <c r="J65" t="str">
        <f>IF(patients[[#This Row],[age]] &lt; 18,"0-17",IF(patients[[#This Row],[age]] &lt; 40,"18-39",IF(patients[[#This Row],[age]] &lt; 65,"40-64","65+")))</f>
        <v>65+</v>
      </c>
      <c r="K65" s="1" t="str">
        <f>TEXT(patients[[#This Row],[arrival_date]],"[$-409]mmmm")</f>
        <v>April</v>
      </c>
      <c r="L65" s="1">
        <f>MATCH(K65, {"January";"February";"March";"April";"May";"June";"July";"August";"September";"October";"November";"December"}, 0)</f>
        <v>4</v>
      </c>
      <c r="M65" s="1" t="str" cm="1">
        <f t="array" ref="M65">IF(patients[[#This Row],[length_of_stay]]&gt;patients!$N$2:$N$2,"Over average","Less than average")</f>
        <v>Less than average</v>
      </c>
    </row>
    <row r="66" spans="2:13" x14ac:dyDescent="0.25">
      <c r="B66" s="1" t="s">
        <v>139</v>
      </c>
      <c r="C66" s="1" t="s">
        <v>140</v>
      </c>
      <c r="D66">
        <v>30</v>
      </c>
      <c r="E66" s="2">
        <v>45765</v>
      </c>
      <c r="F66" s="2">
        <v>45777</v>
      </c>
      <c r="G66" s="1" t="s">
        <v>20</v>
      </c>
      <c r="H66">
        <v>93</v>
      </c>
      <c r="I66" s="19">
        <f>patients[[#This Row],[departure_date]]-patients[[#This Row],[arrival_date]]</f>
        <v>12</v>
      </c>
      <c r="J66" t="str">
        <f>IF(patients[[#This Row],[age]] &lt; 18,"0-17",IF(patients[[#This Row],[age]] &lt; 40,"18-39",IF(patients[[#This Row],[age]] &lt; 65,"40-64","65+")))</f>
        <v>18-39</v>
      </c>
      <c r="K66" s="1" t="str">
        <f>TEXT(patients[[#This Row],[arrival_date]],"[$-409]mmmm")</f>
        <v>April</v>
      </c>
      <c r="L66" s="1">
        <f>MATCH(K66, {"January";"February";"March";"April";"May";"June";"July";"August";"September";"October";"November";"December"}, 0)</f>
        <v>4</v>
      </c>
      <c r="M66" s="1" t="str" cm="1">
        <f t="array" ref="M66">IF(patients[[#This Row],[length_of_stay]]&gt;patients!$N$2:$N$2,"Over average","Less than average")</f>
        <v>Over average</v>
      </c>
    </row>
    <row r="67" spans="2:13" x14ac:dyDescent="0.25">
      <c r="B67" s="1" t="s">
        <v>141</v>
      </c>
      <c r="C67" s="1" t="s">
        <v>142</v>
      </c>
      <c r="D67">
        <v>2</v>
      </c>
      <c r="E67" s="2">
        <v>45828</v>
      </c>
      <c r="F67" s="2">
        <v>45836</v>
      </c>
      <c r="G67" s="1" t="s">
        <v>17</v>
      </c>
      <c r="H67">
        <v>85</v>
      </c>
      <c r="I67" s="19">
        <f>patients[[#This Row],[departure_date]]-patients[[#This Row],[arrival_date]]</f>
        <v>8</v>
      </c>
      <c r="J67" t="str">
        <f>IF(patients[[#This Row],[age]] &lt; 18,"0-17",IF(patients[[#This Row],[age]] &lt; 40,"18-39",IF(patients[[#This Row],[age]] &lt; 65,"40-64","65+")))</f>
        <v>0-17</v>
      </c>
      <c r="K67" s="1" t="str">
        <f>TEXT(patients[[#This Row],[arrival_date]],"[$-409]mmmm")</f>
        <v>June</v>
      </c>
      <c r="L67" s="1">
        <f>MATCH(K67, {"January";"February";"March";"April";"May";"June";"July";"August";"September";"October";"November";"December"}, 0)</f>
        <v>6</v>
      </c>
      <c r="M67" s="1" t="str" cm="1">
        <f t="array" ref="M67">IF(patients[[#This Row],[length_of_stay]]&gt;patients!$N$2:$N$2,"Over average","Less than average")</f>
        <v>Over average</v>
      </c>
    </row>
    <row r="68" spans="2:13" x14ac:dyDescent="0.25">
      <c r="B68" s="1" t="s">
        <v>143</v>
      </c>
      <c r="C68" s="1" t="s">
        <v>144</v>
      </c>
      <c r="D68">
        <v>54</v>
      </c>
      <c r="E68" s="2">
        <v>46021</v>
      </c>
      <c r="F68" s="2">
        <v>46028</v>
      </c>
      <c r="G68" s="1" t="s">
        <v>14</v>
      </c>
      <c r="H68">
        <v>74</v>
      </c>
      <c r="I68" s="19">
        <f>patients[[#This Row],[departure_date]]-patients[[#This Row],[arrival_date]]</f>
        <v>7</v>
      </c>
      <c r="J68" t="str">
        <f>IF(patients[[#This Row],[age]] &lt; 18,"0-17",IF(patients[[#This Row],[age]] &lt; 40,"18-39",IF(patients[[#This Row],[age]] &lt; 65,"40-64","65+")))</f>
        <v>40-64</v>
      </c>
      <c r="K68" s="1" t="str">
        <f>TEXT(patients[[#This Row],[arrival_date]],"[$-409]mmmm")</f>
        <v>December</v>
      </c>
      <c r="L68" s="1">
        <f>MATCH(K68, {"January";"February";"March";"April";"May";"June";"July";"August";"September";"October";"November";"December"}, 0)</f>
        <v>12</v>
      </c>
      <c r="M68" s="1" t="str" cm="1">
        <f t="array" ref="M68">IF(patients[[#This Row],[length_of_stay]]&gt;patients!$N$2:$N$2,"Over average","Less than average")</f>
        <v>Less than average</v>
      </c>
    </row>
    <row r="69" spans="2:13" x14ac:dyDescent="0.25">
      <c r="B69" s="1" t="s">
        <v>145</v>
      </c>
      <c r="C69" s="1" t="s">
        <v>146</v>
      </c>
      <c r="D69">
        <v>3</v>
      </c>
      <c r="E69" s="2">
        <v>45867</v>
      </c>
      <c r="F69" s="2">
        <v>45868</v>
      </c>
      <c r="G69" s="1" t="s">
        <v>17</v>
      </c>
      <c r="H69">
        <v>75</v>
      </c>
      <c r="I69" s="19">
        <f>patients[[#This Row],[departure_date]]-patients[[#This Row],[arrival_date]]</f>
        <v>1</v>
      </c>
      <c r="J69" t="str">
        <f>IF(patients[[#This Row],[age]] &lt; 18,"0-17",IF(patients[[#This Row],[age]] &lt; 40,"18-39",IF(patients[[#This Row],[age]] &lt; 65,"40-64","65+")))</f>
        <v>0-17</v>
      </c>
      <c r="K69" s="1" t="str">
        <f>TEXT(patients[[#This Row],[arrival_date]],"[$-409]mmmm")</f>
        <v>July</v>
      </c>
      <c r="L69" s="1">
        <f>MATCH(K69, {"January";"February";"March";"April";"May";"June";"July";"August";"September";"October";"November";"December"}, 0)</f>
        <v>7</v>
      </c>
      <c r="M69" s="1" t="str" cm="1">
        <f t="array" ref="M69">IF(patients[[#This Row],[length_of_stay]]&gt;patients!$N$2:$N$2,"Over average","Less than average")</f>
        <v>Less than average</v>
      </c>
    </row>
    <row r="70" spans="2:13" x14ac:dyDescent="0.25">
      <c r="B70" s="1" t="s">
        <v>147</v>
      </c>
      <c r="C70" s="1" t="s">
        <v>148</v>
      </c>
      <c r="D70">
        <v>41</v>
      </c>
      <c r="E70" s="2">
        <v>45968</v>
      </c>
      <c r="F70" s="2">
        <v>45971</v>
      </c>
      <c r="G70" s="1" t="s">
        <v>20</v>
      </c>
      <c r="H70">
        <v>93</v>
      </c>
      <c r="I70" s="19">
        <f>patients[[#This Row],[departure_date]]-patients[[#This Row],[arrival_date]]</f>
        <v>3</v>
      </c>
      <c r="J70" t="str">
        <f>IF(patients[[#This Row],[age]] &lt; 18,"0-17",IF(patients[[#This Row],[age]] &lt; 40,"18-39",IF(patients[[#This Row],[age]] &lt; 65,"40-64","65+")))</f>
        <v>40-64</v>
      </c>
      <c r="K70" s="1" t="str">
        <f>TEXT(patients[[#This Row],[arrival_date]],"[$-409]mmmm")</f>
        <v>November</v>
      </c>
      <c r="L70" s="1">
        <f>MATCH(K70, {"January";"February";"March";"April";"May";"June";"July";"August";"September";"October";"November";"December"}, 0)</f>
        <v>11</v>
      </c>
      <c r="M70" s="1" t="str" cm="1">
        <f t="array" ref="M70">IF(patients[[#This Row],[length_of_stay]]&gt;patients!$N$2:$N$2,"Over average","Less than average")</f>
        <v>Less than average</v>
      </c>
    </row>
    <row r="71" spans="2:13" x14ac:dyDescent="0.25">
      <c r="B71" s="1" t="s">
        <v>149</v>
      </c>
      <c r="C71" s="1" t="s">
        <v>150</v>
      </c>
      <c r="D71">
        <v>29</v>
      </c>
      <c r="E71" s="2">
        <v>45904</v>
      </c>
      <c r="F71" s="2">
        <v>45917</v>
      </c>
      <c r="G71" s="1" t="s">
        <v>14</v>
      </c>
      <c r="H71">
        <v>72</v>
      </c>
      <c r="I71" s="19">
        <f>patients[[#This Row],[departure_date]]-patients[[#This Row],[arrival_date]]</f>
        <v>13</v>
      </c>
      <c r="J71" t="str">
        <f>IF(patients[[#This Row],[age]] &lt; 18,"0-17",IF(patients[[#This Row],[age]] &lt; 40,"18-39",IF(patients[[#This Row],[age]] &lt; 65,"40-64","65+")))</f>
        <v>18-39</v>
      </c>
      <c r="K71" s="1" t="str">
        <f>TEXT(patients[[#This Row],[arrival_date]],"[$-409]mmmm")</f>
        <v>September</v>
      </c>
      <c r="L71" s="1">
        <f>MATCH(K71, {"January";"February";"March";"April";"May";"June";"July";"August";"September";"October";"November";"December"}, 0)</f>
        <v>9</v>
      </c>
      <c r="M71" s="1" t="str" cm="1">
        <f t="array" ref="M71">IF(patients[[#This Row],[length_of_stay]]&gt;patients!$N$2:$N$2,"Over average","Less than average")</f>
        <v>Over average</v>
      </c>
    </row>
    <row r="72" spans="2:13" x14ac:dyDescent="0.25">
      <c r="B72" s="1" t="s">
        <v>151</v>
      </c>
      <c r="C72" s="1" t="s">
        <v>152</v>
      </c>
      <c r="D72">
        <v>17</v>
      </c>
      <c r="E72" s="2">
        <v>45753</v>
      </c>
      <c r="F72" s="2">
        <v>45756</v>
      </c>
      <c r="G72" s="1" t="s">
        <v>20</v>
      </c>
      <c r="H72">
        <v>98</v>
      </c>
      <c r="I72" s="19">
        <f>patients[[#This Row],[departure_date]]-patients[[#This Row],[arrival_date]]</f>
        <v>3</v>
      </c>
      <c r="J72" t="str">
        <f>IF(patients[[#This Row],[age]] &lt; 18,"0-17",IF(patients[[#This Row],[age]] &lt; 40,"18-39",IF(patients[[#This Row],[age]] &lt; 65,"40-64","65+")))</f>
        <v>0-17</v>
      </c>
      <c r="K72" s="1" t="str">
        <f>TEXT(patients[[#This Row],[arrival_date]],"[$-409]mmmm")</f>
        <v>April</v>
      </c>
      <c r="L72" s="1">
        <f>MATCH(K72, {"January";"February";"March";"April";"May";"June";"July";"August";"September";"October";"November";"December"}, 0)</f>
        <v>4</v>
      </c>
      <c r="M72" s="1" t="str" cm="1">
        <f t="array" ref="M72">IF(patients[[#This Row],[length_of_stay]]&gt;patients!$N$2:$N$2,"Over average","Less than average")</f>
        <v>Less than average</v>
      </c>
    </row>
    <row r="73" spans="2:13" x14ac:dyDescent="0.25">
      <c r="B73" s="1" t="s">
        <v>153</v>
      </c>
      <c r="C73" s="1" t="s">
        <v>154</v>
      </c>
      <c r="D73">
        <v>45</v>
      </c>
      <c r="E73" s="2">
        <v>45686</v>
      </c>
      <c r="F73" s="2">
        <v>45700</v>
      </c>
      <c r="G73" s="1" t="s">
        <v>20</v>
      </c>
      <c r="H73">
        <v>88</v>
      </c>
      <c r="I73" s="19">
        <f>patients[[#This Row],[departure_date]]-patients[[#This Row],[arrival_date]]</f>
        <v>14</v>
      </c>
      <c r="J73" t="str">
        <f>IF(patients[[#This Row],[age]] &lt; 18,"0-17",IF(patients[[#This Row],[age]] &lt; 40,"18-39",IF(patients[[#This Row],[age]] &lt; 65,"40-64","65+")))</f>
        <v>40-64</v>
      </c>
      <c r="K73" s="1" t="str">
        <f>TEXT(patients[[#This Row],[arrival_date]],"[$-409]mmmm")</f>
        <v>January</v>
      </c>
      <c r="L73" s="1">
        <f>MATCH(K73, {"January";"February";"March";"April";"May";"June";"July";"August";"September";"October";"November";"December"}, 0)</f>
        <v>1</v>
      </c>
      <c r="M73" s="1" t="str" cm="1">
        <f t="array" ref="M73">IF(patients[[#This Row],[length_of_stay]]&gt;patients!$N$2:$N$2,"Over average","Less than average")</f>
        <v>Over average</v>
      </c>
    </row>
    <row r="74" spans="2:13" x14ac:dyDescent="0.25">
      <c r="B74" s="1" t="s">
        <v>155</v>
      </c>
      <c r="C74" s="1" t="s">
        <v>156</v>
      </c>
      <c r="D74">
        <v>61</v>
      </c>
      <c r="E74" s="2">
        <v>45893</v>
      </c>
      <c r="F74" s="2">
        <v>45902</v>
      </c>
      <c r="G74" s="1" t="s">
        <v>17</v>
      </c>
      <c r="H74">
        <v>75</v>
      </c>
      <c r="I74" s="19">
        <f>patients[[#This Row],[departure_date]]-patients[[#This Row],[arrival_date]]</f>
        <v>9</v>
      </c>
      <c r="J74" t="str">
        <f>IF(patients[[#This Row],[age]] &lt; 18,"0-17",IF(patients[[#This Row],[age]] &lt; 40,"18-39",IF(patients[[#This Row],[age]] &lt; 65,"40-64","65+")))</f>
        <v>40-64</v>
      </c>
      <c r="K74" s="1" t="str">
        <f>TEXT(patients[[#This Row],[arrival_date]],"[$-409]mmmm")</f>
        <v>August</v>
      </c>
      <c r="L74" s="1">
        <f>MATCH(K74, {"January";"February";"March";"April";"May";"June";"July";"August";"September";"October";"November";"December"}, 0)</f>
        <v>8</v>
      </c>
      <c r="M74" s="1" t="str" cm="1">
        <f t="array" ref="M74">IF(patients[[#This Row],[length_of_stay]]&gt;patients!$N$2:$N$2,"Over average","Less than average")</f>
        <v>Over average</v>
      </c>
    </row>
    <row r="75" spans="2:13" x14ac:dyDescent="0.25">
      <c r="B75" s="1" t="s">
        <v>157</v>
      </c>
      <c r="C75" s="1" t="s">
        <v>158</v>
      </c>
      <c r="D75">
        <v>55</v>
      </c>
      <c r="E75" s="2">
        <v>45896</v>
      </c>
      <c r="F75" s="2">
        <v>45905</v>
      </c>
      <c r="G75" s="1" t="s">
        <v>20</v>
      </c>
      <c r="H75">
        <v>69</v>
      </c>
      <c r="I75" s="19">
        <f>patients[[#This Row],[departure_date]]-patients[[#This Row],[arrival_date]]</f>
        <v>9</v>
      </c>
      <c r="J75" t="str">
        <f>IF(patients[[#This Row],[age]] &lt; 18,"0-17",IF(patients[[#This Row],[age]] &lt; 40,"18-39",IF(patients[[#This Row],[age]] &lt; 65,"40-64","65+")))</f>
        <v>40-64</v>
      </c>
      <c r="K75" s="1" t="str">
        <f>TEXT(patients[[#This Row],[arrival_date]],"[$-409]mmmm")</f>
        <v>August</v>
      </c>
      <c r="L75" s="1">
        <f>MATCH(K75, {"January";"February";"March";"April";"May";"June";"July";"August";"September";"October";"November";"December"}, 0)</f>
        <v>8</v>
      </c>
      <c r="M75" s="1" t="str" cm="1">
        <f t="array" ref="M75">IF(patients[[#This Row],[length_of_stay]]&gt;patients!$N$2:$N$2,"Over average","Less than average")</f>
        <v>Over average</v>
      </c>
    </row>
    <row r="76" spans="2:13" x14ac:dyDescent="0.25">
      <c r="B76" s="1" t="s">
        <v>159</v>
      </c>
      <c r="C76" s="1" t="s">
        <v>160</v>
      </c>
      <c r="D76">
        <v>29</v>
      </c>
      <c r="E76" s="2">
        <v>46016</v>
      </c>
      <c r="F76" s="2">
        <v>46020</v>
      </c>
      <c r="G76" s="1" t="s">
        <v>17</v>
      </c>
      <c r="H76">
        <v>64</v>
      </c>
      <c r="I76" s="19">
        <f>patients[[#This Row],[departure_date]]-patients[[#This Row],[arrival_date]]</f>
        <v>4</v>
      </c>
      <c r="J76" t="str">
        <f>IF(patients[[#This Row],[age]] &lt; 18,"0-17",IF(patients[[#This Row],[age]] &lt; 40,"18-39",IF(patients[[#This Row],[age]] &lt; 65,"40-64","65+")))</f>
        <v>18-39</v>
      </c>
      <c r="K76" s="1" t="str">
        <f>TEXT(patients[[#This Row],[arrival_date]],"[$-409]mmmm")</f>
        <v>December</v>
      </c>
      <c r="L76" s="1">
        <f>MATCH(K76, {"January";"February";"March";"April";"May";"June";"July";"August";"September";"October";"November";"December"}, 0)</f>
        <v>12</v>
      </c>
      <c r="M76" s="1" t="str" cm="1">
        <f t="array" ref="M76">IF(patients[[#This Row],[length_of_stay]]&gt;patients!$N$2:$N$2,"Over average","Less than average")</f>
        <v>Less than average</v>
      </c>
    </row>
    <row r="77" spans="2:13" x14ac:dyDescent="0.25">
      <c r="B77" s="1" t="s">
        <v>161</v>
      </c>
      <c r="C77" s="1" t="s">
        <v>162</v>
      </c>
      <c r="D77">
        <v>64</v>
      </c>
      <c r="E77" s="2">
        <v>45834</v>
      </c>
      <c r="F77" s="2">
        <v>45837</v>
      </c>
      <c r="G77" s="1" t="s">
        <v>9</v>
      </c>
      <c r="H77">
        <v>73</v>
      </c>
      <c r="I77" s="19">
        <f>patients[[#This Row],[departure_date]]-patients[[#This Row],[arrival_date]]</f>
        <v>3</v>
      </c>
      <c r="J77" t="str">
        <f>IF(patients[[#This Row],[age]] &lt; 18,"0-17",IF(patients[[#This Row],[age]] &lt; 40,"18-39",IF(patients[[#This Row],[age]] &lt; 65,"40-64","65+")))</f>
        <v>40-64</v>
      </c>
      <c r="K77" s="1" t="str">
        <f>TEXT(patients[[#This Row],[arrival_date]],"[$-409]mmmm")</f>
        <v>June</v>
      </c>
      <c r="L77" s="1">
        <f>MATCH(K77, {"January";"February";"March";"April";"May";"June";"July";"August";"September";"October";"November";"December"}, 0)</f>
        <v>6</v>
      </c>
      <c r="M77" s="1" t="str" cm="1">
        <f t="array" ref="M77">IF(patients[[#This Row],[length_of_stay]]&gt;patients!$N$2:$N$2,"Over average","Less than average")</f>
        <v>Less than average</v>
      </c>
    </row>
    <row r="78" spans="2:13" x14ac:dyDescent="0.25">
      <c r="B78" s="1" t="s">
        <v>163</v>
      </c>
      <c r="C78" s="1" t="s">
        <v>164</v>
      </c>
      <c r="D78">
        <v>29</v>
      </c>
      <c r="E78" s="2">
        <v>45981</v>
      </c>
      <c r="F78" s="2">
        <v>45983</v>
      </c>
      <c r="G78" s="1" t="s">
        <v>9</v>
      </c>
      <c r="H78">
        <v>96</v>
      </c>
      <c r="I78" s="19">
        <f>patients[[#This Row],[departure_date]]-patients[[#This Row],[arrival_date]]</f>
        <v>2</v>
      </c>
      <c r="J78" t="str">
        <f>IF(patients[[#This Row],[age]] &lt; 18,"0-17",IF(patients[[#This Row],[age]] &lt; 40,"18-39",IF(patients[[#This Row],[age]] &lt; 65,"40-64","65+")))</f>
        <v>18-39</v>
      </c>
      <c r="K78" s="1" t="str">
        <f>TEXT(patients[[#This Row],[arrival_date]],"[$-409]mmmm")</f>
        <v>November</v>
      </c>
      <c r="L78" s="1">
        <f>MATCH(K78, {"January";"February";"March";"April";"May";"June";"July";"August";"September";"October";"November";"December"}, 0)</f>
        <v>11</v>
      </c>
      <c r="M78" s="1" t="str" cm="1">
        <f t="array" ref="M78">IF(patients[[#This Row],[length_of_stay]]&gt;patients!$N$2:$N$2,"Over average","Less than average")</f>
        <v>Less than average</v>
      </c>
    </row>
    <row r="79" spans="2:13" x14ac:dyDescent="0.25">
      <c r="B79" s="1" t="s">
        <v>165</v>
      </c>
      <c r="C79" s="1" t="s">
        <v>166</v>
      </c>
      <c r="D79">
        <v>24</v>
      </c>
      <c r="E79" s="2">
        <v>45850</v>
      </c>
      <c r="F79" s="2">
        <v>45855</v>
      </c>
      <c r="G79" s="1" t="s">
        <v>20</v>
      </c>
      <c r="H79">
        <v>74</v>
      </c>
      <c r="I79" s="19">
        <f>patients[[#This Row],[departure_date]]-patients[[#This Row],[arrival_date]]</f>
        <v>5</v>
      </c>
      <c r="J79" t="str">
        <f>IF(patients[[#This Row],[age]] &lt; 18,"0-17",IF(patients[[#This Row],[age]] &lt; 40,"18-39",IF(patients[[#This Row],[age]] &lt; 65,"40-64","65+")))</f>
        <v>18-39</v>
      </c>
      <c r="K79" s="1" t="str">
        <f>TEXT(patients[[#This Row],[arrival_date]],"[$-409]mmmm")</f>
        <v>July</v>
      </c>
      <c r="L79" s="1">
        <f>MATCH(K79, {"January";"February";"March";"April";"May";"June";"July";"August";"September";"October";"November";"December"}, 0)</f>
        <v>7</v>
      </c>
      <c r="M79" s="1" t="str" cm="1">
        <f t="array" ref="M79">IF(patients[[#This Row],[length_of_stay]]&gt;patients!$N$2:$N$2,"Over average","Less than average")</f>
        <v>Less than average</v>
      </c>
    </row>
    <row r="80" spans="2:13" x14ac:dyDescent="0.25">
      <c r="B80" s="1" t="s">
        <v>167</v>
      </c>
      <c r="C80" s="1" t="s">
        <v>168</v>
      </c>
      <c r="D80">
        <v>72</v>
      </c>
      <c r="E80" s="2">
        <v>45962</v>
      </c>
      <c r="F80" s="2">
        <v>45971</v>
      </c>
      <c r="G80" s="1" t="s">
        <v>14</v>
      </c>
      <c r="H80">
        <v>83</v>
      </c>
      <c r="I80" s="19">
        <f>patients[[#This Row],[departure_date]]-patients[[#This Row],[arrival_date]]</f>
        <v>9</v>
      </c>
      <c r="J80" t="str">
        <f>IF(patients[[#This Row],[age]] &lt; 18,"0-17",IF(patients[[#This Row],[age]] &lt; 40,"18-39",IF(patients[[#This Row],[age]] &lt; 65,"40-64","65+")))</f>
        <v>65+</v>
      </c>
      <c r="K80" s="1" t="str">
        <f>TEXT(patients[[#This Row],[arrival_date]],"[$-409]mmmm")</f>
        <v>November</v>
      </c>
      <c r="L80" s="1">
        <f>MATCH(K80, {"January";"February";"March";"April";"May";"June";"July";"August";"September";"October";"November";"December"}, 0)</f>
        <v>11</v>
      </c>
      <c r="M80" s="1" t="str" cm="1">
        <f t="array" ref="M80">IF(patients[[#This Row],[length_of_stay]]&gt;patients!$N$2:$N$2,"Over average","Less than average")</f>
        <v>Over average</v>
      </c>
    </row>
    <row r="81" spans="2:13" x14ac:dyDescent="0.25">
      <c r="B81" s="1" t="s">
        <v>169</v>
      </c>
      <c r="C81" s="1" t="s">
        <v>170</v>
      </c>
      <c r="D81">
        <v>67</v>
      </c>
      <c r="E81" s="2">
        <v>45844</v>
      </c>
      <c r="F81" s="2">
        <v>45854</v>
      </c>
      <c r="G81" s="1" t="s">
        <v>20</v>
      </c>
      <c r="H81">
        <v>96</v>
      </c>
      <c r="I81" s="19">
        <f>patients[[#This Row],[departure_date]]-patients[[#This Row],[arrival_date]]</f>
        <v>10</v>
      </c>
      <c r="J81" t="str">
        <f>IF(patients[[#This Row],[age]] &lt; 18,"0-17",IF(patients[[#This Row],[age]] &lt; 40,"18-39",IF(patients[[#This Row],[age]] &lt; 65,"40-64","65+")))</f>
        <v>65+</v>
      </c>
      <c r="K81" s="1" t="str">
        <f>TEXT(patients[[#This Row],[arrival_date]],"[$-409]mmmm")</f>
        <v>July</v>
      </c>
      <c r="L81" s="1">
        <f>MATCH(K81, {"January";"February";"March";"April";"May";"June";"July";"August";"September";"October";"November";"December"}, 0)</f>
        <v>7</v>
      </c>
      <c r="M81" s="1" t="str" cm="1">
        <f t="array" ref="M81">IF(patients[[#This Row],[length_of_stay]]&gt;patients!$N$2:$N$2,"Over average","Less than average")</f>
        <v>Over average</v>
      </c>
    </row>
    <row r="82" spans="2:13" x14ac:dyDescent="0.25">
      <c r="B82" s="1" t="s">
        <v>171</v>
      </c>
      <c r="C82" s="1" t="s">
        <v>172</v>
      </c>
      <c r="D82">
        <v>60</v>
      </c>
      <c r="E82" s="2">
        <v>45855</v>
      </c>
      <c r="F82" s="2">
        <v>45862</v>
      </c>
      <c r="G82" s="1" t="s">
        <v>17</v>
      </c>
      <c r="H82">
        <v>83</v>
      </c>
      <c r="I82" s="19">
        <f>patients[[#This Row],[departure_date]]-patients[[#This Row],[arrival_date]]</f>
        <v>7</v>
      </c>
      <c r="J82" t="str">
        <f>IF(patients[[#This Row],[age]] &lt; 18,"0-17",IF(patients[[#This Row],[age]] &lt; 40,"18-39",IF(patients[[#This Row],[age]] &lt; 65,"40-64","65+")))</f>
        <v>40-64</v>
      </c>
      <c r="K82" s="1" t="str">
        <f>TEXT(patients[[#This Row],[arrival_date]],"[$-409]mmmm")</f>
        <v>July</v>
      </c>
      <c r="L82" s="1">
        <f>MATCH(K82, {"January";"February";"March";"April";"May";"June";"July";"August";"September";"October";"November";"December"}, 0)</f>
        <v>7</v>
      </c>
      <c r="M82" s="1" t="str" cm="1">
        <f t="array" ref="M82">IF(patients[[#This Row],[length_of_stay]]&gt;patients!$N$2:$N$2,"Over average","Less than average")</f>
        <v>Less than average</v>
      </c>
    </row>
    <row r="83" spans="2:13" x14ac:dyDescent="0.25">
      <c r="B83" s="1" t="s">
        <v>173</v>
      </c>
      <c r="C83" s="1" t="s">
        <v>174</v>
      </c>
      <c r="D83">
        <v>10</v>
      </c>
      <c r="E83" s="2">
        <v>45990</v>
      </c>
      <c r="F83" s="2">
        <v>45992</v>
      </c>
      <c r="G83" s="1" t="s">
        <v>9</v>
      </c>
      <c r="H83">
        <v>84</v>
      </c>
      <c r="I83" s="19">
        <f>patients[[#This Row],[departure_date]]-patients[[#This Row],[arrival_date]]</f>
        <v>2</v>
      </c>
      <c r="J83" t="str">
        <f>IF(patients[[#This Row],[age]] &lt; 18,"0-17",IF(patients[[#This Row],[age]] &lt; 40,"18-39",IF(patients[[#This Row],[age]] &lt; 65,"40-64","65+")))</f>
        <v>0-17</v>
      </c>
      <c r="K83" s="1" t="str">
        <f>TEXT(patients[[#This Row],[arrival_date]],"[$-409]mmmm")</f>
        <v>November</v>
      </c>
      <c r="L83" s="1">
        <f>MATCH(K83, {"January";"February";"March";"April";"May";"June";"July";"August";"September";"October";"November";"December"}, 0)</f>
        <v>11</v>
      </c>
      <c r="M83" s="1" t="str" cm="1">
        <f t="array" ref="M83">IF(patients[[#This Row],[length_of_stay]]&gt;patients!$N$2:$N$2,"Over average","Less than average")</f>
        <v>Less than average</v>
      </c>
    </row>
    <row r="84" spans="2:13" x14ac:dyDescent="0.25">
      <c r="B84" s="1" t="s">
        <v>175</v>
      </c>
      <c r="C84" s="1" t="s">
        <v>176</v>
      </c>
      <c r="D84">
        <v>70</v>
      </c>
      <c r="E84" s="2">
        <v>45917</v>
      </c>
      <c r="F84" s="2">
        <v>45928</v>
      </c>
      <c r="G84" s="1" t="s">
        <v>20</v>
      </c>
      <c r="H84">
        <v>67</v>
      </c>
      <c r="I84" s="19">
        <f>patients[[#This Row],[departure_date]]-patients[[#This Row],[arrival_date]]</f>
        <v>11</v>
      </c>
      <c r="J84" t="str">
        <f>IF(patients[[#This Row],[age]] &lt; 18,"0-17",IF(patients[[#This Row],[age]] &lt; 40,"18-39",IF(patients[[#This Row],[age]] &lt; 65,"40-64","65+")))</f>
        <v>65+</v>
      </c>
      <c r="K84" s="1" t="str">
        <f>TEXT(patients[[#This Row],[arrival_date]],"[$-409]mmmm")</f>
        <v>September</v>
      </c>
      <c r="L84" s="1">
        <f>MATCH(K84, {"January";"February";"March";"April";"May";"June";"July";"August";"September";"October";"November";"December"}, 0)</f>
        <v>9</v>
      </c>
      <c r="M84" s="1" t="str" cm="1">
        <f t="array" ref="M84">IF(patients[[#This Row],[length_of_stay]]&gt;patients!$N$2:$N$2,"Over average","Less than average")</f>
        <v>Over average</v>
      </c>
    </row>
    <row r="85" spans="2:13" x14ac:dyDescent="0.25">
      <c r="B85" s="1" t="s">
        <v>177</v>
      </c>
      <c r="C85" s="1" t="s">
        <v>178</v>
      </c>
      <c r="D85">
        <v>19</v>
      </c>
      <c r="E85" s="2">
        <v>45720</v>
      </c>
      <c r="F85" s="2">
        <v>45726</v>
      </c>
      <c r="G85" s="1" t="s">
        <v>17</v>
      </c>
      <c r="H85">
        <v>69</v>
      </c>
      <c r="I85" s="19">
        <f>patients[[#This Row],[departure_date]]-patients[[#This Row],[arrival_date]]</f>
        <v>6</v>
      </c>
      <c r="J85" t="str">
        <f>IF(patients[[#This Row],[age]] &lt; 18,"0-17",IF(patients[[#This Row],[age]] &lt; 40,"18-39",IF(patients[[#This Row],[age]] &lt; 65,"40-64","65+")))</f>
        <v>18-39</v>
      </c>
      <c r="K85" s="1" t="str">
        <f>TEXT(patients[[#This Row],[arrival_date]],"[$-409]mmmm")</f>
        <v>March</v>
      </c>
      <c r="L85" s="1">
        <f>MATCH(K85, {"January";"February";"March";"April";"May";"June";"July";"August";"September";"October";"November";"December"}, 0)</f>
        <v>3</v>
      </c>
      <c r="M85" s="1" t="str" cm="1">
        <f t="array" ref="M85">IF(patients[[#This Row],[length_of_stay]]&gt;patients!$N$2:$N$2,"Over average","Less than average")</f>
        <v>Less than average</v>
      </c>
    </row>
    <row r="86" spans="2:13" x14ac:dyDescent="0.25">
      <c r="B86" s="1" t="s">
        <v>179</v>
      </c>
      <c r="C86" s="1" t="s">
        <v>180</v>
      </c>
      <c r="D86">
        <v>56</v>
      </c>
      <c r="E86" s="2">
        <v>45898</v>
      </c>
      <c r="F86" s="2">
        <v>45908</v>
      </c>
      <c r="G86" s="1" t="s">
        <v>9</v>
      </c>
      <c r="H86">
        <v>62</v>
      </c>
      <c r="I86" s="19">
        <f>patients[[#This Row],[departure_date]]-patients[[#This Row],[arrival_date]]</f>
        <v>10</v>
      </c>
      <c r="J86" t="str">
        <f>IF(patients[[#This Row],[age]] &lt; 18,"0-17",IF(patients[[#This Row],[age]] &lt; 40,"18-39",IF(patients[[#This Row],[age]] &lt; 65,"40-64","65+")))</f>
        <v>40-64</v>
      </c>
      <c r="K86" s="1" t="str">
        <f>TEXT(patients[[#This Row],[arrival_date]],"[$-409]mmmm")</f>
        <v>August</v>
      </c>
      <c r="L86" s="1">
        <f>MATCH(K86, {"January";"February";"March";"April";"May";"June";"July";"August";"September";"October";"November";"December"}, 0)</f>
        <v>8</v>
      </c>
      <c r="M86" s="1" t="str" cm="1">
        <f t="array" ref="M86">IF(patients[[#This Row],[length_of_stay]]&gt;patients!$N$2:$N$2,"Over average","Less than average")</f>
        <v>Over average</v>
      </c>
    </row>
    <row r="87" spans="2:13" x14ac:dyDescent="0.25">
      <c r="B87" s="1" t="s">
        <v>181</v>
      </c>
      <c r="C87" s="1" t="s">
        <v>182</v>
      </c>
      <c r="D87">
        <v>5</v>
      </c>
      <c r="E87" s="2">
        <v>45918</v>
      </c>
      <c r="F87" s="2">
        <v>45924</v>
      </c>
      <c r="G87" s="1" t="s">
        <v>17</v>
      </c>
      <c r="H87">
        <v>82</v>
      </c>
      <c r="I87" s="19">
        <f>patients[[#This Row],[departure_date]]-patients[[#This Row],[arrival_date]]</f>
        <v>6</v>
      </c>
      <c r="J87" t="str">
        <f>IF(patients[[#This Row],[age]] &lt; 18,"0-17",IF(patients[[#This Row],[age]] &lt; 40,"18-39",IF(patients[[#This Row],[age]] &lt; 65,"40-64","65+")))</f>
        <v>0-17</v>
      </c>
      <c r="K87" s="1" t="str">
        <f>TEXT(patients[[#This Row],[arrival_date]],"[$-409]mmmm")</f>
        <v>September</v>
      </c>
      <c r="L87" s="1">
        <f>MATCH(K87, {"January";"February";"March";"April";"May";"June";"July";"August";"September";"October";"November";"December"}, 0)</f>
        <v>9</v>
      </c>
      <c r="M87" s="1" t="str" cm="1">
        <f t="array" ref="M87">IF(patients[[#This Row],[length_of_stay]]&gt;patients!$N$2:$N$2,"Over average","Less than average")</f>
        <v>Less than average</v>
      </c>
    </row>
    <row r="88" spans="2:13" x14ac:dyDescent="0.25">
      <c r="B88" s="1" t="s">
        <v>183</v>
      </c>
      <c r="C88" s="1" t="s">
        <v>184</v>
      </c>
      <c r="D88">
        <v>48</v>
      </c>
      <c r="E88" s="2">
        <v>45756</v>
      </c>
      <c r="F88" s="2">
        <v>45760</v>
      </c>
      <c r="G88" s="1" t="s">
        <v>17</v>
      </c>
      <c r="H88">
        <v>94</v>
      </c>
      <c r="I88" s="19">
        <f>patients[[#This Row],[departure_date]]-patients[[#This Row],[arrival_date]]</f>
        <v>4</v>
      </c>
      <c r="J88" t="str">
        <f>IF(patients[[#This Row],[age]] &lt; 18,"0-17",IF(patients[[#This Row],[age]] &lt; 40,"18-39",IF(patients[[#This Row],[age]] &lt; 65,"40-64","65+")))</f>
        <v>40-64</v>
      </c>
      <c r="K88" s="1" t="str">
        <f>TEXT(patients[[#This Row],[arrival_date]],"[$-409]mmmm")</f>
        <v>April</v>
      </c>
      <c r="L88" s="1">
        <f>MATCH(K88, {"January";"February";"March";"April";"May";"June";"July";"August";"September";"October";"November";"December"}, 0)</f>
        <v>4</v>
      </c>
      <c r="M88" s="1" t="str" cm="1">
        <f t="array" ref="M88">IF(patients[[#This Row],[length_of_stay]]&gt;patients!$N$2:$N$2,"Over average","Less than average")</f>
        <v>Less than average</v>
      </c>
    </row>
    <row r="89" spans="2:13" x14ac:dyDescent="0.25">
      <c r="B89" s="1" t="s">
        <v>185</v>
      </c>
      <c r="C89" s="1" t="s">
        <v>186</v>
      </c>
      <c r="D89">
        <v>49</v>
      </c>
      <c r="E89" s="2">
        <v>45719</v>
      </c>
      <c r="F89" s="2">
        <v>45720</v>
      </c>
      <c r="G89" s="1" t="s">
        <v>9</v>
      </c>
      <c r="H89">
        <v>83</v>
      </c>
      <c r="I89" s="19">
        <f>patients[[#This Row],[departure_date]]-patients[[#This Row],[arrival_date]]</f>
        <v>1</v>
      </c>
      <c r="J89" t="str">
        <f>IF(patients[[#This Row],[age]] &lt; 18,"0-17",IF(patients[[#This Row],[age]] &lt; 40,"18-39",IF(patients[[#This Row],[age]] &lt; 65,"40-64","65+")))</f>
        <v>40-64</v>
      </c>
      <c r="K89" s="1" t="str">
        <f>TEXT(patients[[#This Row],[arrival_date]],"[$-409]mmmm")</f>
        <v>March</v>
      </c>
      <c r="L89" s="1">
        <f>MATCH(K89, {"January";"February";"March";"April";"May";"June";"July";"August";"September";"October";"November";"December"}, 0)</f>
        <v>3</v>
      </c>
      <c r="M89" s="1" t="str" cm="1">
        <f t="array" ref="M89">IF(patients[[#This Row],[length_of_stay]]&gt;patients!$N$2:$N$2,"Over average","Less than average")</f>
        <v>Less than average</v>
      </c>
    </row>
    <row r="90" spans="2:13" x14ac:dyDescent="0.25">
      <c r="B90" s="1" t="s">
        <v>187</v>
      </c>
      <c r="C90" s="1" t="s">
        <v>188</v>
      </c>
      <c r="D90">
        <v>2</v>
      </c>
      <c r="E90" s="2">
        <v>45884</v>
      </c>
      <c r="F90" s="2">
        <v>45890</v>
      </c>
      <c r="G90" s="1" t="s">
        <v>20</v>
      </c>
      <c r="H90">
        <v>72</v>
      </c>
      <c r="I90" s="19">
        <f>patients[[#This Row],[departure_date]]-patients[[#This Row],[arrival_date]]</f>
        <v>6</v>
      </c>
      <c r="J90" t="str">
        <f>IF(patients[[#This Row],[age]] &lt; 18,"0-17",IF(patients[[#This Row],[age]] &lt; 40,"18-39",IF(patients[[#This Row],[age]] &lt; 65,"40-64","65+")))</f>
        <v>0-17</v>
      </c>
      <c r="K90" s="1" t="str">
        <f>TEXT(patients[[#This Row],[arrival_date]],"[$-409]mmmm")</f>
        <v>August</v>
      </c>
      <c r="L90" s="1">
        <f>MATCH(K90, {"January";"February";"March";"April";"May";"June";"July";"August";"September";"October";"November";"December"}, 0)</f>
        <v>8</v>
      </c>
      <c r="M90" s="1" t="str" cm="1">
        <f t="array" ref="M90">IF(patients[[#This Row],[length_of_stay]]&gt;patients!$N$2:$N$2,"Over average","Less than average")</f>
        <v>Less than average</v>
      </c>
    </row>
    <row r="91" spans="2:13" x14ac:dyDescent="0.25">
      <c r="B91" s="1" t="s">
        <v>189</v>
      </c>
      <c r="C91" s="1" t="s">
        <v>190</v>
      </c>
      <c r="D91">
        <v>88</v>
      </c>
      <c r="E91" s="2">
        <v>45725</v>
      </c>
      <c r="F91" s="2">
        <v>45739</v>
      </c>
      <c r="G91" s="1" t="s">
        <v>17</v>
      </c>
      <c r="H91">
        <v>96</v>
      </c>
      <c r="I91" s="19">
        <f>patients[[#This Row],[departure_date]]-patients[[#This Row],[arrival_date]]</f>
        <v>14</v>
      </c>
      <c r="J91" t="str">
        <f>IF(patients[[#This Row],[age]] &lt; 18,"0-17",IF(patients[[#This Row],[age]] &lt; 40,"18-39",IF(patients[[#This Row],[age]] &lt; 65,"40-64","65+")))</f>
        <v>65+</v>
      </c>
      <c r="K91" s="1" t="str">
        <f>TEXT(patients[[#This Row],[arrival_date]],"[$-409]mmmm")</f>
        <v>March</v>
      </c>
      <c r="L91" s="1">
        <f>MATCH(K91, {"January";"February";"March";"April";"May";"June";"July";"August";"September";"October";"November";"December"}, 0)</f>
        <v>3</v>
      </c>
      <c r="M91" s="1" t="str" cm="1">
        <f t="array" ref="M91">IF(patients[[#This Row],[length_of_stay]]&gt;patients!$N$2:$N$2,"Over average","Less than average")</f>
        <v>Over average</v>
      </c>
    </row>
    <row r="92" spans="2:13" x14ac:dyDescent="0.25">
      <c r="B92" s="1" t="s">
        <v>191</v>
      </c>
      <c r="C92" s="1" t="s">
        <v>192</v>
      </c>
      <c r="D92">
        <v>10</v>
      </c>
      <c r="E92" s="2">
        <v>45980</v>
      </c>
      <c r="F92" s="2">
        <v>45991</v>
      </c>
      <c r="G92" s="1" t="s">
        <v>17</v>
      </c>
      <c r="H92">
        <v>87</v>
      </c>
      <c r="I92" s="19">
        <f>patients[[#This Row],[departure_date]]-patients[[#This Row],[arrival_date]]</f>
        <v>11</v>
      </c>
      <c r="J92" t="str">
        <f>IF(patients[[#This Row],[age]] &lt; 18,"0-17",IF(patients[[#This Row],[age]] &lt; 40,"18-39",IF(patients[[#This Row],[age]] &lt; 65,"40-64","65+")))</f>
        <v>0-17</v>
      </c>
      <c r="K92" s="1" t="str">
        <f>TEXT(patients[[#This Row],[arrival_date]],"[$-409]mmmm")</f>
        <v>November</v>
      </c>
      <c r="L92" s="1">
        <f>MATCH(K92, {"January";"February";"March";"April";"May";"June";"July";"August";"September";"October";"November";"December"}, 0)</f>
        <v>11</v>
      </c>
      <c r="M92" s="1" t="str" cm="1">
        <f t="array" ref="M92">IF(patients[[#This Row],[length_of_stay]]&gt;patients!$N$2:$N$2,"Over average","Less than average")</f>
        <v>Over average</v>
      </c>
    </row>
    <row r="93" spans="2:13" x14ac:dyDescent="0.25">
      <c r="B93" s="1" t="s">
        <v>193</v>
      </c>
      <c r="C93" s="1" t="s">
        <v>194</v>
      </c>
      <c r="D93">
        <v>28</v>
      </c>
      <c r="E93" s="2">
        <v>45852</v>
      </c>
      <c r="F93" s="2">
        <v>45861</v>
      </c>
      <c r="G93" s="1" t="s">
        <v>17</v>
      </c>
      <c r="H93">
        <v>93</v>
      </c>
      <c r="I93" s="19">
        <f>patients[[#This Row],[departure_date]]-patients[[#This Row],[arrival_date]]</f>
        <v>9</v>
      </c>
      <c r="J93" t="str">
        <f>IF(patients[[#This Row],[age]] &lt; 18,"0-17",IF(patients[[#This Row],[age]] &lt; 40,"18-39",IF(patients[[#This Row],[age]] &lt; 65,"40-64","65+")))</f>
        <v>18-39</v>
      </c>
      <c r="K93" s="1" t="str">
        <f>TEXT(patients[[#This Row],[arrival_date]],"[$-409]mmmm")</f>
        <v>July</v>
      </c>
      <c r="L93" s="1">
        <f>MATCH(K93, {"January";"February";"March";"April";"May";"June";"July";"August";"September";"October";"November";"December"}, 0)</f>
        <v>7</v>
      </c>
      <c r="M93" s="1" t="str" cm="1">
        <f t="array" ref="M93">IF(patients[[#This Row],[length_of_stay]]&gt;patients!$N$2:$N$2,"Over average","Less than average")</f>
        <v>Over average</v>
      </c>
    </row>
    <row r="94" spans="2:13" x14ac:dyDescent="0.25">
      <c r="B94" s="1" t="s">
        <v>195</v>
      </c>
      <c r="C94" s="1" t="s">
        <v>196</v>
      </c>
      <c r="D94">
        <v>75</v>
      </c>
      <c r="E94" s="2">
        <v>45666</v>
      </c>
      <c r="F94" s="2">
        <v>45674</v>
      </c>
      <c r="G94" s="1" t="s">
        <v>9</v>
      </c>
      <c r="H94">
        <v>84</v>
      </c>
      <c r="I94" s="19">
        <f>patients[[#This Row],[departure_date]]-patients[[#This Row],[arrival_date]]</f>
        <v>8</v>
      </c>
      <c r="J94" t="str">
        <f>IF(patients[[#This Row],[age]] &lt; 18,"0-17",IF(patients[[#This Row],[age]] &lt; 40,"18-39",IF(patients[[#This Row],[age]] &lt; 65,"40-64","65+")))</f>
        <v>65+</v>
      </c>
      <c r="K94" s="1" t="str">
        <f>TEXT(patients[[#This Row],[arrival_date]],"[$-409]mmmm")</f>
        <v>January</v>
      </c>
      <c r="L94" s="1">
        <f>MATCH(K94, {"January";"February";"March";"April";"May";"June";"July";"August";"September";"October";"November";"December"}, 0)</f>
        <v>1</v>
      </c>
      <c r="M94" s="1" t="str" cm="1">
        <f t="array" ref="M94">IF(patients[[#This Row],[length_of_stay]]&gt;patients!$N$2:$N$2,"Over average","Less than average")</f>
        <v>Over average</v>
      </c>
    </row>
    <row r="95" spans="2:13" x14ac:dyDescent="0.25">
      <c r="B95" s="1" t="s">
        <v>197</v>
      </c>
      <c r="C95" s="1" t="s">
        <v>198</v>
      </c>
      <c r="D95">
        <v>4</v>
      </c>
      <c r="E95" s="2">
        <v>45883</v>
      </c>
      <c r="F95" s="2">
        <v>45891</v>
      </c>
      <c r="G95" s="1" t="s">
        <v>14</v>
      </c>
      <c r="H95">
        <v>74</v>
      </c>
      <c r="I95" s="19">
        <f>patients[[#This Row],[departure_date]]-patients[[#This Row],[arrival_date]]</f>
        <v>8</v>
      </c>
      <c r="J95" t="str">
        <f>IF(patients[[#This Row],[age]] &lt; 18,"0-17",IF(patients[[#This Row],[age]] &lt; 40,"18-39",IF(patients[[#This Row],[age]] &lt; 65,"40-64","65+")))</f>
        <v>0-17</v>
      </c>
      <c r="K95" s="1" t="str">
        <f>TEXT(patients[[#This Row],[arrival_date]],"[$-409]mmmm")</f>
        <v>August</v>
      </c>
      <c r="L95" s="1">
        <f>MATCH(K95, {"January";"February";"March";"April";"May";"June";"July";"August";"September";"October";"November";"December"}, 0)</f>
        <v>8</v>
      </c>
      <c r="M95" s="1" t="str" cm="1">
        <f t="array" ref="M95">IF(patients[[#This Row],[length_of_stay]]&gt;patients!$N$2:$N$2,"Over average","Less than average")</f>
        <v>Over average</v>
      </c>
    </row>
    <row r="96" spans="2:13" x14ac:dyDescent="0.25">
      <c r="B96" s="1" t="s">
        <v>199</v>
      </c>
      <c r="C96" s="1" t="s">
        <v>200</v>
      </c>
      <c r="D96">
        <v>37</v>
      </c>
      <c r="E96" s="2">
        <v>45908</v>
      </c>
      <c r="F96" s="2">
        <v>45913</v>
      </c>
      <c r="G96" s="1" t="s">
        <v>20</v>
      </c>
      <c r="H96">
        <v>85</v>
      </c>
      <c r="I96" s="19">
        <f>patients[[#This Row],[departure_date]]-patients[[#This Row],[arrival_date]]</f>
        <v>5</v>
      </c>
      <c r="J96" t="str">
        <f>IF(patients[[#This Row],[age]] &lt; 18,"0-17",IF(patients[[#This Row],[age]] &lt; 40,"18-39",IF(patients[[#This Row],[age]] &lt; 65,"40-64","65+")))</f>
        <v>18-39</v>
      </c>
      <c r="K96" s="1" t="str">
        <f>TEXT(patients[[#This Row],[arrival_date]],"[$-409]mmmm")</f>
        <v>September</v>
      </c>
      <c r="L96" s="1">
        <f>MATCH(K96, {"January";"February";"March";"April";"May";"June";"July";"August";"September";"October";"November";"December"}, 0)</f>
        <v>9</v>
      </c>
      <c r="M96" s="1" t="str" cm="1">
        <f t="array" ref="M96">IF(patients[[#This Row],[length_of_stay]]&gt;patients!$N$2:$N$2,"Over average","Less than average")</f>
        <v>Less than average</v>
      </c>
    </row>
    <row r="97" spans="2:13" x14ac:dyDescent="0.25">
      <c r="B97" s="1" t="s">
        <v>201</v>
      </c>
      <c r="C97" s="1" t="s">
        <v>202</v>
      </c>
      <c r="D97">
        <v>17</v>
      </c>
      <c r="E97" s="2">
        <v>45694</v>
      </c>
      <c r="F97" s="2">
        <v>45706</v>
      </c>
      <c r="G97" s="1" t="s">
        <v>9</v>
      </c>
      <c r="H97">
        <v>72</v>
      </c>
      <c r="I97" s="19">
        <f>patients[[#This Row],[departure_date]]-patients[[#This Row],[arrival_date]]</f>
        <v>12</v>
      </c>
      <c r="J97" t="str">
        <f>IF(patients[[#This Row],[age]] &lt; 18,"0-17",IF(patients[[#This Row],[age]] &lt; 40,"18-39",IF(patients[[#This Row],[age]] &lt; 65,"40-64","65+")))</f>
        <v>0-17</v>
      </c>
      <c r="K97" s="1" t="str">
        <f>TEXT(patients[[#This Row],[arrival_date]],"[$-409]mmmm")</f>
        <v>February</v>
      </c>
      <c r="L97" s="1">
        <f>MATCH(K97, {"January";"February";"March";"April";"May";"June";"July";"August";"September";"October";"November";"December"}, 0)</f>
        <v>2</v>
      </c>
      <c r="M97" s="1" t="str" cm="1">
        <f t="array" ref="M97">IF(patients[[#This Row],[length_of_stay]]&gt;patients!$N$2:$N$2,"Over average","Less than average")</f>
        <v>Over average</v>
      </c>
    </row>
    <row r="98" spans="2:13" x14ac:dyDescent="0.25">
      <c r="B98" s="1" t="s">
        <v>203</v>
      </c>
      <c r="C98" s="1" t="s">
        <v>204</v>
      </c>
      <c r="D98">
        <v>27</v>
      </c>
      <c r="E98" s="2">
        <v>45738</v>
      </c>
      <c r="F98" s="2">
        <v>45740</v>
      </c>
      <c r="G98" s="1" t="s">
        <v>17</v>
      </c>
      <c r="H98">
        <v>99</v>
      </c>
      <c r="I98" s="19">
        <f>patients[[#This Row],[departure_date]]-patients[[#This Row],[arrival_date]]</f>
        <v>2</v>
      </c>
      <c r="J98" t="str">
        <f>IF(patients[[#This Row],[age]] &lt; 18,"0-17",IF(patients[[#This Row],[age]] &lt; 40,"18-39",IF(patients[[#This Row],[age]] &lt; 65,"40-64","65+")))</f>
        <v>18-39</v>
      </c>
      <c r="K98" s="1" t="str">
        <f>TEXT(patients[[#This Row],[arrival_date]],"[$-409]mmmm")</f>
        <v>March</v>
      </c>
      <c r="L98" s="1">
        <f>MATCH(K98, {"January";"February";"March";"April";"May";"June";"July";"August";"September";"October";"November";"December"}, 0)</f>
        <v>3</v>
      </c>
      <c r="M98" s="1" t="str" cm="1">
        <f t="array" ref="M98">IF(patients[[#This Row],[length_of_stay]]&gt;patients!$N$2:$N$2,"Over average","Less than average")</f>
        <v>Less than average</v>
      </c>
    </row>
    <row r="99" spans="2:13" x14ac:dyDescent="0.25">
      <c r="B99" s="1" t="s">
        <v>205</v>
      </c>
      <c r="C99" s="1" t="s">
        <v>206</v>
      </c>
      <c r="D99">
        <v>44</v>
      </c>
      <c r="E99" s="2">
        <v>45975</v>
      </c>
      <c r="F99" s="2">
        <v>45988</v>
      </c>
      <c r="G99" s="1" t="s">
        <v>20</v>
      </c>
      <c r="H99">
        <v>62</v>
      </c>
      <c r="I99" s="19">
        <f>patients[[#This Row],[departure_date]]-patients[[#This Row],[arrival_date]]</f>
        <v>13</v>
      </c>
      <c r="J99" t="str">
        <f>IF(patients[[#This Row],[age]] &lt; 18,"0-17",IF(patients[[#This Row],[age]] &lt; 40,"18-39",IF(patients[[#This Row],[age]] &lt; 65,"40-64","65+")))</f>
        <v>40-64</v>
      </c>
      <c r="K99" s="1" t="str">
        <f>TEXT(patients[[#This Row],[arrival_date]],"[$-409]mmmm")</f>
        <v>November</v>
      </c>
      <c r="L99" s="1">
        <f>MATCH(K99, {"January";"February";"March";"April";"May";"June";"July";"August";"September";"October";"November";"December"}, 0)</f>
        <v>11</v>
      </c>
      <c r="M99" s="1" t="str" cm="1">
        <f t="array" ref="M99">IF(patients[[#This Row],[length_of_stay]]&gt;patients!$N$2:$N$2,"Over average","Less than average")</f>
        <v>Over average</v>
      </c>
    </row>
    <row r="100" spans="2:13" x14ac:dyDescent="0.25">
      <c r="B100" s="1" t="s">
        <v>207</v>
      </c>
      <c r="C100" s="1" t="s">
        <v>208</v>
      </c>
      <c r="D100">
        <v>55</v>
      </c>
      <c r="E100" s="2">
        <v>46011</v>
      </c>
      <c r="F100" s="2">
        <v>46019</v>
      </c>
      <c r="G100" s="1" t="s">
        <v>20</v>
      </c>
      <c r="H100">
        <v>86</v>
      </c>
      <c r="I100" s="19">
        <f>patients[[#This Row],[departure_date]]-patients[[#This Row],[arrival_date]]</f>
        <v>8</v>
      </c>
      <c r="J100" t="str">
        <f>IF(patients[[#This Row],[age]] &lt; 18,"0-17",IF(patients[[#This Row],[age]] &lt; 40,"18-39",IF(patients[[#This Row],[age]] &lt; 65,"40-64","65+")))</f>
        <v>40-64</v>
      </c>
      <c r="K100" s="1" t="str">
        <f>TEXT(patients[[#This Row],[arrival_date]],"[$-409]mmmm")</f>
        <v>December</v>
      </c>
      <c r="L100" s="1">
        <f>MATCH(K100, {"January";"February";"March";"April";"May";"June";"July";"August";"September";"October";"November";"December"}, 0)</f>
        <v>12</v>
      </c>
      <c r="M100" s="1" t="str" cm="1">
        <f t="array" ref="M100">IF(patients[[#This Row],[length_of_stay]]&gt;patients!$N$2:$N$2,"Over average","Less than average")</f>
        <v>Over average</v>
      </c>
    </row>
    <row r="101" spans="2:13" x14ac:dyDescent="0.25">
      <c r="B101" s="1" t="s">
        <v>209</v>
      </c>
      <c r="C101" s="1" t="s">
        <v>210</v>
      </c>
      <c r="D101">
        <v>76</v>
      </c>
      <c r="E101" s="2">
        <v>45946</v>
      </c>
      <c r="F101" s="2">
        <v>45952</v>
      </c>
      <c r="G101" s="1" t="s">
        <v>17</v>
      </c>
      <c r="H101">
        <v>83</v>
      </c>
      <c r="I101" s="19">
        <f>patients[[#This Row],[departure_date]]-patients[[#This Row],[arrival_date]]</f>
        <v>6</v>
      </c>
      <c r="J101" t="str">
        <f>IF(patients[[#This Row],[age]] &lt; 18,"0-17",IF(patients[[#This Row],[age]] &lt; 40,"18-39",IF(patients[[#This Row],[age]] &lt; 65,"40-64","65+")))</f>
        <v>65+</v>
      </c>
      <c r="K101" s="1" t="str">
        <f>TEXT(patients[[#This Row],[arrival_date]],"[$-409]mmmm")</f>
        <v>October</v>
      </c>
      <c r="L101" s="1">
        <f>MATCH(K101, {"January";"February";"March";"April";"May";"June";"July";"August";"September";"October";"November";"December"}, 0)</f>
        <v>10</v>
      </c>
      <c r="M101" s="1" t="str" cm="1">
        <f t="array" ref="M101">IF(patients[[#This Row],[length_of_stay]]&gt;patients!$N$2:$N$2,"Over average","Less than average")</f>
        <v>Less than average</v>
      </c>
    </row>
    <row r="102" spans="2:13" x14ac:dyDescent="0.25">
      <c r="B102" s="1" t="s">
        <v>211</v>
      </c>
      <c r="C102" s="1" t="s">
        <v>212</v>
      </c>
      <c r="D102">
        <v>18</v>
      </c>
      <c r="E102" s="2">
        <v>45825</v>
      </c>
      <c r="F102" s="2">
        <v>45837</v>
      </c>
      <c r="G102" s="1" t="s">
        <v>20</v>
      </c>
      <c r="H102">
        <v>92</v>
      </c>
      <c r="I102" s="19">
        <f>patients[[#This Row],[departure_date]]-patients[[#This Row],[arrival_date]]</f>
        <v>12</v>
      </c>
      <c r="J102" t="str">
        <f>IF(patients[[#This Row],[age]] &lt; 18,"0-17",IF(patients[[#This Row],[age]] &lt; 40,"18-39",IF(patients[[#This Row],[age]] &lt; 65,"40-64","65+")))</f>
        <v>18-39</v>
      </c>
      <c r="K102" s="1" t="str">
        <f>TEXT(patients[[#This Row],[arrival_date]],"[$-409]mmmm")</f>
        <v>June</v>
      </c>
      <c r="L102" s="1">
        <f>MATCH(K102, {"January";"February";"March";"April";"May";"June";"July";"August";"September";"October";"November";"December"}, 0)</f>
        <v>6</v>
      </c>
      <c r="M102" s="1" t="str" cm="1">
        <f t="array" ref="M102">IF(patients[[#This Row],[length_of_stay]]&gt;patients!$N$2:$N$2,"Over average","Less than average")</f>
        <v>Over average</v>
      </c>
    </row>
    <row r="103" spans="2:13" x14ac:dyDescent="0.25">
      <c r="B103" s="1" t="s">
        <v>213</v>
      </c>
      <c r="C103" s="1" t="s">
        <v>214</v>
      </c>
      <c r="D103">
        <v>58</v>
      </c>
      <c r="E103" s="2">
        <v>45961</v>
      </c>
      <c r="F103" s="2">
        <v>45970</v>
      </c>
      <c r="G103" s="1" t="s">
        <v>14</v>
      </c>
      <c r="H103">
        <v>72</v>
      </c>
      <c r="I103" s="19">
        <f>patients[[#This Row],[departure_date]]-patients[[#This Row],[arrival_date]]</f>
        <v>9</v>
      </c>
      <c r="J103" t="str">
        <f>IF(patients[[#This Row],[age]] &lt; 18,"0-17",IF(patients[[#This Row],[age]] &lt; 40,"18-39",IF(patients[[#This Row],[age]] &lt; 65,"40-64","65+")))</f>
        <v>40-64</v>
      </c>
      <c r="K103" s="1" t="str">
        <f>TEXT(patients[[#This Row],[arrival_date]],"[$-409]mmmm")</f>
        <v>October</v>
      </c>
      <c r="L103" s="1">
        <f>MATCH(K103, {"January";"February";"March";"April";"May";"June";"July";"August";"September";"October";"November";"December"}, 0)</f>
        <v>10</v>
      </c>
      <c r="M103" s="1" t="str" cm="1">
        <f t="array" ref="M103">IF(patients[[#This Row],[length_of_stay]]&gt;patients!$N$2:$N$2,"Over average","Less than average")</f>
        <v>Over average</v>
      </c>
    </row>
    <row r="104" spans="2:13" x14ac:dyDescent="0.25">
      <c r="B104" s="1" t="s">
        <v>215</v>
      </c>
      <c r="C104" s="1" t="s">
        <v>216</v>
      </c>
      <c r="D104">
        <v>44</v>
      </c>
      <c r="E104" s="2">
        <v>45838</v>
      </c>
      <c r="F104" s="2">
        <v>45848</v>
      </c>
      <c r="G104" s="1" t="s">
        <v>17</v>
      </c>
      <c r="H104">
        <v>95</v>
      </c>
      <c r="I104" s="19">
        <f>patients[[#This Row],[departure_date]]-patients[[#This Row],[arrival_date]]</f>
        <v>10</v>
      </c>
      <c r="J104" t="str">
        <f>IF(patients[[#This Row],[age]] &lt; 18,"0-17",IF(patients[[#This Row],[age]] &lt; 40,"18-39",IF(patients[[#This Row],[age]] &lt; 65,"40-64","65+")))</f>
        <v>40-64</v>
      </c>
      <c r="K104" s="1" t="str">
        <f>TEXT(patients[[#This Row],[arrival_date]],"[$-409]mmmm")</f>
        <v>June</v>
      </c>
      <c r="L104" s="1">
        <f>MATCH(K104, {"January";"February";"March";"April";"May";"June";"July";"August";"September";"October";"November";"December"}, 0)</f>
        <v>6</v>
      </c>
      <c r="M104" s="1" t="str" cm="1">
        <f t="array" ref="M104">IF(patients[[#This Row],[length_of_stay]]&gt;patients!$N$2:$N$2,"Over average","Less than average")</f>
        <v>Over average</v>
      </c>
    </row>
    <row r="105" spans="2:13" x14ac:dyDescent="0.25">
      <c r="B105" s="1" t="s">
        <v>217</v>
      </c>
      <c r="C105" s="1" t="s">
        <v>218</v>
      </c>
      <c r="D105">
        <v>62</v>
      </c>
      <c r="E105" s="2">
        <v>45845</v>
      </c>
      <c r="F105" s="2">
        <v>45852</v>
      </c>
      <c r="G105" s="1" t="s">
        <v>14</v>
      </c>
      <c r="H105">
        <v>64</v>
      </c>
      <c r="I105" s="19">
        <f>patients[[#This Row],[departure_date]]-patients[[#This Row],[arrival_date]]</f>
        <v>7</v>
      </c>
      <c r="J105" t="str">
        <f>IF(patients[[#This Row],[age]] &lt; 18,"0-17",IF(patients[[#This Row],[age]] &lt; 40,"18-39",IF(patients[[#This Row],[age]] &lt; 65,"40-64","65+")))</f>
        <v>40-64</v>
      </c>
      <c r="K105" s="1" t="str">
        <f>TEXT(patients[[#This Row],[arrival_date]],"[$-409]mmmm")</f>
        <v>July</v>
      </c>
      <c r="L105" s="1">
        <f>MATCH(K105, {"January";"February";"March";"April";"May";"June";"July";"August";"September";"October";"November";"December"}, 0)</f>
        <v>7</v>
      </c>
      <c r="M105" s="1" t="str" cm="1">
        <f t="array" ref="M105">IF(patients[[#This Row],[length_of_stay]]&gt;patients!$N$2:$N$2,"Over average","Less than average")</f>
        <v>Less than average</v>
      </c>
    </row>
    <row r="106" spans="2:13" x14ac:dyDescent="0.25">
      <c r="B106" s="1" t="s">
        <v>219</v>
      </c>
      <c r="C106" s="1" t="s">
        <v>220</v>
      </c>
      <c r="D106">
        <v>44</v>
      </c>
      <c r="E106" s="2">
        <v>45906</v>
      </c>
      <c r="F106" s="2">
        <v>45909</v>
      </c>
      <c r="G106" s="1" t="s">
        <v>9</v>
      </c>
      <c r="H106">
        <v>90</v>
      </c>
      <c r="I106" s="19">
        <f>patients[[#This Row],[departure_date]]-patients[[#This Row],[arrival_date]]</f>
        <v>3</v>
      </c>
      <c r="J106" t="str">
        <f>IF(patients[[#This Row],[age]] &lt; 18,"0-17",IF(patients[[#This Row],[age]] &lt; 40,"18-39",IF(patients[[#This Row],[age]] &lt; 65,"40-64","65+")))</f>
        <v>40-64</v>
      </c>
      <c r="K106" s="1" t="str">
        <f>TEXT(patients[[#This Row],[arrival_date]],"[$-409]mmmm")</f>
        <v>September</v>
      </c>
      <c r="L106" s="1">
        <f>MATCH(K106, {"January";"February";"March";"April";"May";"June";"July";"August";"September";"October";"November";"December"}, 0)</f>
        <v>9</v>
      </c>
      <c r="M106" s="1" t="str" cm="1">
        <f t="array" ref="M106">IF(patients[[#This Row],[length_of_stay]]&gt;patients!$N$2:$N$2,"Over average","Less than average")</f>
        <v>Less than average</v>
      </c>
    </row>
    <row r="107" spans="2:13" x14ac:dyDescent="0.25">
      <c r="B107" s="1" t="s">
        <v>221</v>
      </c>
      <c r="C107" s="1" t="s">
        <v>222</v>
      </c>
      <c r="D107">
        <v>22</v>
      </c>
      <c r="E107" s="2">
        <v>45817</v>
      </c>
      <c r="F107" s="2">
        <v>45828</v>
      </c>
      <c r="G107" s="1" t="s">
        <v>9</v>
      </c>
      <c r="H107">
        <v>89</v>
      </c>
      <c r="I107" s="19">
        <f>patients[[#This Row],[departure_date]]-patients[[#This Row],[arrival_date]]</f>
        <v>11</v>
      </c>
      <c r="J107" t="str">
        <f>IF(patients[[#This Row],[age]] &lt; 18,"0-17",IF(patients[[#This Row],[age]] &lt; 40,"18-39",IF(patients[[#This Row],[age]] &lt; 65,"40-64","65+")))</f>
        <v>18-39</v>
      </c>
      <c r="K107" s="1" t="str">
        <f>TEXT(patients[[#This Row],[arrival_date]],"[$-409]mmmm")</f>
        <v>June</v>
      </c>
      <c r="L107" s="1">
        <f>MATCH(K107, {"January";"February";"March";"April";"May";"June";"July";"August";"September";"October";"November";"December"}, 0)</f>
        <v>6</v>
      </c>
      <c r="M107" s="1" t="str" cm="1">
        <f t="array" ref="M107">IF(patients[[#This Row],[length_of_stay]]&gt;patients!$N$2:$N$2,"Over average","Less than average")</f>
        <v>Over average</v>
      </c>
    </row>
    <row r="108" spans="2:13" x14ac:dyDescent="0.25">
      <c r="B108" s="1" t="s">
        <v>223</v>
      </c>
      <c r="C108" s="1" t="s">
        <v>224</v>
      </c>
      <c r="D108">
        <v>38</v>
      </c>
      <c r="E108" s="2">
        <v>45739</v>
      </c>
      <c r="F108" s="2">
        <v>45743</v>
      </c>
      <c r="G108" s="1" t="s">
        <v>14</v>
      </c>
      <c r="H108">
        <v>61</v>
      </c>
      <c r="I108" s="19">
        <f>patients[[#This Row],[departure_date]]-patients[[#This Row],[arrival_date]]</f>
        <v>4</v>
      </c>
      <c r="J108" t="str">
        <f>IF(patients[[#This Row],[age]] &lt; 18,"0-17",IF(patients[[#This Row],[age]] &lt; 40,"18-39",IF(patients[[#This Row],[age]] &lt; 65,"40-64","65+")))</f>
        <v>18-39</v>
      </c>
      <c r="K108" s="1" t="str">
        <f>TEXT(patients[[#This Row],[arrival_date]],"[$-409]mmmm")</f>
        <v>March</v>
      </c>
      <c r="L108" s="1">
        <f>MATCH(K108, {"January";"February";"March";"April";"May";"June";"July";"August";"September";"October";"November";"December"}, 0)</f>
        <v>3</v>
      </c>
      <c r="M108" s="1" t="str" cm="1">
        <f t="array" ref="M108">IF(patients[[#This Row],[length_of_stay]]&gt;patients!$N$2:$N$2,"Over average","Less than average")</f>
        <v>Less than average</v>
      </c>
    </row>
    <row r="109" spans="2:13" x14ac:dyDescent="0.25">
      <c r="B109" s="1" t="s">
        <v>225</v>
      </c>
      <c r="C109" s="1" t="s">
        <v>226</v>
      </c>
      <c r="D109">
        <v>77</v>
      </c>
      <c r="E109" s="2">
        <v>45669</v>
      </c>
      <c r="F109" s="2">
        <v>45676</v>
      </c>
      <c r="G109" s="1" t="s">
        <v>17</v>
      </c>
      <c r="H109">
        <v>61</v>
      </c>
      <c r="I109" s="19">
        <f>patients[[#This Row],[departure_date]]-patients[[#This Row],[arrival_date]]</f>
        <v>7</v>
      </c>
      <c r="J109" t="str">
        <f>IF(patients[[#This Row],[age]] &lt; 18,"0-17",IF(patients[[#This Row],[age]] &lt; 40,"18-39",IF(patients[[#This Row],[age]] &lt; 65,"40-64","65+")))</f>
        <v>65+</v>
      </c>
      <c r="K109" s="1" t="str">
        <f>TEXT(patients[[#This Row],[arrival_date]],"[$-409]mmmm")</f>
        <v>January</v>
      </c>
      <c r="L109" s="1">
        <f>MATCH(K109, {"January";"February";"March";"April";"May";"June";"July";"August";"September";"October";"November";"December"}, 0)</f>
        <v>1</v>
      </c>
      <c r="M109" s="1" t="str" cm="1">
        <f t="array" ref="M109">IF(patients[[#This Row],[length_of_stay]]&gt;patients!$N$2:$N$2,"Over average","Less than average")</f>
        <v>Less than average</v>
      </c>
    </row>
    <row r="110" spans="2:13" x14ac:dyDescent="0.25">
      <c r="B110" s="1" t="s">
        <v>227</v>
      </c>
      <c r="C110" s="1" t="s">
        <v>228</v>
      </c>
      <c r="D110">
        <v>12</v>
      </c>
      <c r="E110" s="2">
        <v>45812</v>
      </c>
      <c r="F110" s="2">
        <v>45813</v>
      </c>
      <c r="G110" s="1" t="s">
        <v>9</v>
      </c>
      <c r="H110">
        <v>76</v>
      </c>
      <c r="I110" s="19">
        <f>patients[[#This Row],[departure_date]]-patients[[#This Row],[arrival_date]]</f>
        <v>1</v>
      </c>
      <c r="J110" t="str">
        <f>IF(patients[[#This Row],[age]] &lt; 18,"0-17",IF(patients[[#This Row],[age]] &lt; 40,"18-39",IF(patients[[#This Row],[age]] &lt; 65,"40-64","65+")))</f>
        <v>0-17</v>
      </c>
      <c r="K110" s="1" t="str">
        <f>TEXT(patients[[#This Row],[arrival_date]],"[$-409]mmmm")</f>
        <v>June</v>
      </c>
      <c r="L110" s="1">
        <f>MATCH(K110, {"January";"February";"March";"April";"May";"June";"July";"August";"September";"October";"November";"December"}, 0)</f>
        <v>6</v>
      </c>
      <c r="M110" s="1" t="str" cm="1">
        <f t="array" ref="M110">IF(patients[[#This Row],[length_of_stay]]&gt;patients!$N$2:$N$2,"Over average","Less than average")</f>
        <v>Less than average</v>
      </c>
    </row>
    <row r="111" spans="2:13" x14ac:dyDescent="0.25">
      <c r="B111" s="1" t="s">
        <v>229</v>
      </c>
      <c r="C111" s="1" t="s">
        <v>230</v>
      </c>
      <c r="D111">
        <v>59</v>
      </c>
      <c r="E111" s="2">
        <v>46001</v>
      </c>
      <c r="F111" s="2">
        <v>46014</v>
      </c>
      <c r="G111" s="1" t="s">
        <v>20</v>
      </c>
      <c r="H111">
        <v>94</v>
      </c>
      <c r="I111" s="19">
        <f>patients[[#This Row],[departure_date]]-patients[[#This Row],[arrival_date]]</f>
        <v>13</v>
      </c>
      <c r="J111" t="str">
        <f>IF(patients[[#This Row],[age]] &lt; 18,"0-17",IF(patients[[#This Row],[age]] &lt; 40,"18-39",IF(patients[[#This Row],[age]] &lt; 65,"40-64","65+")))</f>
        <v>40-64</v>
      </c>
      <c r="K111" s="1" t="str">
        <f>TEXT(patients[[#This Row],[arrival_date]],"[$-409]mmmm")</f>
        <v>December</v>
      </c>
      <c r="L111" s="1">
        <f>MATCH(K111, {"January";"February";"March";"April";"May";"June";"July";"August";"September";"October";"November";"December"}, 0)</f>
        <v>12</v>
      </c>
      <c r="M111" s="1" t="str" cm="1">
        <f t="array" ref="M111">IF(patients[[#This Row],[length_of_stay]]&gt;patients!$N$2:$N$2,"Over average","Less than average")</f>
        <v>Over average</v>
      </c>
    </row>
    <row r="112" spans="2:13" x14ac:dyDescent="0.25">
      <c r="B112" s="1" t="s">
        <v>231</v>
      </c>
      <c r="C112" s="1" t="s">
        <v>232</v>
      </c>
      <c r="D112">
        <v>69</v>
      </c>
      <c r="E112" s="2">
        <v>45731</v>
      </c>
      <c r="F112" s="2">
        <v>45740</v>
      </c>
      <c r="G112" s="1" t="s">
        <v>14</v>
      </c>
      <c r="H112">
        <v>91</v>
      </c>
      <c r="I112" s="19">
        <f>patients[[#This Row],[departure_date]]-patients[[#This Row],[arrival_date]]</f>
        <v>9</v>
      </c>
      <c r="J112" t="str">
        <f>IF(patients[[#This Row],[age]] &lt; 18,"0-17",IF(patients[[#This Row],[age]] &lt; 40,"18-39",IF(patients[[#This Row],[age]] &lt; 65,"40-64","65+")))</f>
        <v>65+</v>
      </c>
      <c r="K112" s="1" t="str">
        <f>TEXT(patients[[#This Row],[arrival_date]],"[$-409]mmmm")</f>
        <v>March</v>
      </c>
      <c r="L112" s="1">
        <f>MATCH(K112, {"January";"February";"March";"April";"May";"June";"July";"August";"September";"October";"November";"December"}, 0)</f>
        <v>3</v>
      </c>
      <c r="M112" s="1" t="str" cm="1">
        <f t="array" ref="M112">IF(patients[[#This Row],[length_of_stay]]&gt;patients!$N$2:$N$2,"Over average","Less than average")</f>
        <v>Over average</v>
      </c>
    </row>
    <row r="113" spans="2:13" x14ac:dyDescent="0.25">
      <c r="B113" s="1" t="s">
        <v>233</v>
      </c>
      <c r="C113" s="1" t="s">
        <v>234</v>
      </c>
      <c r="D113">
        <v>62</v>
      </c>
      <c r="E113" s="2">
        <v>45717</v>
      </c>
      <c r="F113" s="2">
        <v>45731</v>
      </c>
      <c r="G113" s="1" t="s">
        <v>20</v>
      </c>
      <c r="H113">
        <v>96</v>
      </c>
      <c r="I113" s="19">
        <f>patients[[#This Row],[departure_date]]-patients[[#This Row],[arrival_date]]</f>
        <v>14</v>
      </c>
      <c r="J113" t="str">
        <f>IF(patients[[#This Row],[age]] &lt; 18,"0-17",IF(patients[[#This Row],[age]] &lt; 40,"18-39",IF(patients[[#This Row],[age]] &lt; 65,"40-64","65+")))</f>
        <v>40-64</v>
      </c>
      <c r="K113" s="1" t="str">
        <f>TEXT(patients[[#This Row],[arrival_date]],"[$-409]mmmm")</f>
        <v>March</v>
      </c>
      <c r="L113" s="1">
        <f>MATCH(K113, {"January";"February";"March";"April";"May";"June";"July";"August";"September";"October";"November";"December"}, 0)</f>
        <v>3</v>
      </c>
      <c r="M113" s="1" t="str" cm="1">
        <f t="array" ref="M113">IF(patients[[#This Row],[length_of_stay]]&gt;patients!$N$2:$N$2,"Over average","Less than average")</f>
        <v>Over average</v>
      </c>
    </row>
    <row r="114" spans="2:13" x14ac:dyDescent="0.25">
      <c r="B114" s="1" t="s">
        <v>235</v>
      </c>
      <c r="C114" s="1" t="s">
        <v>236</v>
      </c>
      <c r="D114">
        <v>21</v>
      </c>
      <c r="E114" s="2">
        <v>46009</v>
      </c>
      <c r="F114" s="2">
        <v>46013</v>
      </c>
      <c r="G114" s="1" t="s">
        <v>20</v>
      </c>
      <c r="H114">
        <v>63</v>
      </c>
      <c r="I114" s="19">
        <f>patients[[#This Row],[departure_date]]-patients[[#This Row],[arrival_date]]</f>
        <v>4</v>
      </c>
      <c r="J114" t="str">
        <f>IF(patients[[#This Row],[age]] &lt; 18,"0-17",IF(patients[[#This Row],[age]] &lt; 40,"18-39",IF(patients[[#This Row],[age]] &lt; 65,"40-64","65+")))</f>
        <v>18-39</v>
      </c>
      <c r="K114" s="1" t="str">
        <f>TEXT(patients[[#This Row],[arrival_date]],"[$-409]mmmm")</f>
        <v>December</v>
      </c>
      <c r="L114" s="1">
        <f>MATCH(K114, {"January";"February";"March";"April";"May";"June";"July";"August";"September";"October";"November";"December"}, 0)</f>
        <v>12</v>
      </c>
      <c r="M114" s="1" t="str" cm="1">
        <f t="array" ref="M114">IF(patients[[#This Row],[length_of_stay]]&gt;patients!$N$2:$N$2,"Over average","Less than average")</f>
        <v>Less than average</v>
      </c>
    </row>
    <row r="115" spans="2:13" x14ac:dyDescent="0.25">
      <c r="B115" s="1" t="s">
        <v>237</v>
      </c>
      <c r="C115" s="1" t="s">
        <v>238</v>
      </c>
      <c r="D115">
        <v>63</v>
      </c>
      <c r="E115" s="2">
        <v>45669</v>
      </c>
      <c r="F115" s="2">
        <v>45675</v>
      </c>
      <c r="G115" s="1" t="s">
        <v>17</v>
      </c>
      <c r="H115">
        <v>76</v>
      </c>
      <c r="I115" s="19">
        <f>patients[[#This Row],[departure_date]]-patients[[#This Row],[arrival_date]]</f>
        <v>6</v>
      </c>
      <c r="J115" t="str">
        <f>IF(patients[[#This Row],[age]] &lt; 18,"0-17",IF(patients[[#This Row],[age]] &lt; 40,"18-39",IF(patients[[#This Row],[age]] &lt; 65,"40-64","65+")))</f>
        <v>40-64</v>
      </c>
      <c r="K115" s="1" t="str">
        <f>TEXT(patients[[#This Row],[arrival_date]],"[$-409]mmmm")</f>
        <v>January</v>
      </c>
      <c r="L115" s="1">
        <f>MATCH(K115, {"January";"February";"March";"April";"May";"June";"July";"August";"September";"October";"November";"December"}, 0)</f>
        <v>1</v>
      </c>
      <c r="M115" s="1" t="str" cm="1">
        <f t="array" ref="M115">IF(patients[[#This Row],[length_of_stay]]&gt;patients!$N$2:$N$2,"Over average","Less than average")</f>
        <v>Less than average</v>
      </c>
    </row>
    <row r="116" spans="2:13" x14ac:dyDescent="0.25">
      <c r="B116" s="1" t="s">
        <v>239</v>
      </c>
      <c r="C116" s="1" t="s">
        <v>240</v>
      </c>
      <c r="D116">
        <v>9</v>
      </c>
      <c r="E116" s="2">
        <v>45850</v>
      </c>
      <c r="F116" s="2">
        <v>45856</v>
      </c>
      <c r="G116" s="1" t="s">
        <v>9</v>
      </c>
      <c r="H116">
        <v>85</v>
      </c>
      <c r="I116" s="19">
        <f>patients[[#This Row],[departure_date]]-patients[[#This Row],[arrival_date]]</f>
        <v>6</v>
      </c>
      <c r="J116" t="str">
        <f>IF(patients[[#This Row],[age]] &lt; 18,"0-17",IF(patients[[#This Row],[age]] &lt; 40,"18-39",IF(patients[[#This Row],[age]] &lt; 65,"40-64","65+")))</f>
        <v>0-17</v>
      </c>
      <c r="K116" s="1" t="str">
        <f>TEXT(patients[[#This Row],[arrival_date]],"[$-409]mmmm")</f>
        <v>July</v>
      </c>
      <c r="L116" s="1">
        <f>MATCH(K116, {"January";"February";"March";"April";"May";"June";"July";"August";"September";"October";"November";"December"}, 0)</f>
        <v>7</v>
      </c>
      <c r="M116" s="1" t="str" cm="1">
        <f t="array" ref="M116">IF(patients[[#This Row],[length_of_stay]]&gt;patients!$N$2:$N$2,"Over average","Less than average")</f>
        <v>Less than average</v>
      </c>
    </row>
    <row r="117" spans="2:13" x14ac:dyDescent="0.25">
      <c r="B117" s="1" t="s">
        <v>241</v>
      </c>
      <c r="C117" s="1" t="s">
        <v>242</v>
      </c>
      <c r="D117">
        <v>81</v>
      </c>
      <c r="E117" s="2">
        <v>45927</v>
      </c>
      <c r="F117" s="2">
        <v>45940</v>
      </c>
      <c r="G117" s="1" t="s">
        <v>9</v>
      </c>
      <c r="H117">
        <v>71</v>
      </c>
      <c r="I117" s="19">
        <f>patients[[#This Row],[departure_date]]-patients[[#This Row],[arrival_date]]</f>
        <v>13</v>
      </c>
      <c r="J117" t="str">
        <f>IF(patients[[#This Row],[age]] &lt; 18,"0-17",IF(patients[[#This Row],[age]] &lt; 40,"18-39",IF(patients[[#This Row],[age]] &lt; 65,"40-64","65+")))</f>
        <v>65+</v>
      </c>
      <c r="K117" s="1" t="str">
        <f>TEXT(patients[[#This Row],[arrival_date]],"[$-409]mmmm")</f>
        <v>September</v>
      </c>
      <c r="L117" s="1">
        <f>MATCH(K117, {"January";"February";"March";"April";"May";"June";"July";"August";"September";"October";"November";"December"}, 0)</f>
        <v>9</v>
      </c>
      <c r="M117" s="1" t="str" cm="1">
        <f t="array" ref="M117">IF(patients[[#This Row],[length_of_stay]]&gt;patients!$N$2:$N$2,"Over average","Less than average")</f>
        <v>Over average</v>
      </c>
    </row>
    <row r="118" spans="2:13" x14ac:dyDescent="0.25">
      <c r="B118" s="1" t="s">
        <v>243</v>
      </c>
      <c r="C118" s="1" t="s">
        <v>244</v>
      </c>
      <c r="D118">
        <v>35</v>
      </c>
      <c r="E118" s="2">
        <v>45884</v>
      </c>
      <c r="F118" s="2">
        <v>45888</v>
      </c>
      <c r="G118" s="1" t="s">
        <v>14</v>
      </c>
      <c r="H118">
        <v>71</v>
      </c>
      <c r="I118" s="19">
        <f>patients[[#This Row],[departure_date]]-patients[[#This Row],[arrival_date]]</f>
        <v>4</v>
      </c>
      <c r="J118" t="str">
        <f>IF(patients[[#This Row],[age]] &lt; 18,"0-17",IF(patients[[#This Row],[age]] &lt; 40,"18-39",IF(patients[[#This Row],[age]] &lt; 65,"40-64","65+")))</f>
        <v>18-39</v>
      </c>
      <c r="K118" s="1" t="str">
        <f>TEXT(patients[[#This Row],[arrival_date]],"[$-409]mmmm")</f>
        <v>August</v>
      </c>
      <c r="L118" s="1">
        <f>MATCH(K118, {"January";"February";"March";"April";"May";"June";"July";"August";"September";"October";"November";"December"}, 0)</f>
        <v>8</v>
      </c>
      <c r="M118" s="1" t="str" cm="1">
        <f t="array" ref="M118">IF(patients[[#This Row],[length_of_stay]]&gt;patients!$N$2:$N$2,"Over average","Less than average")</f>
        <v>Less than average</v>
      </c>
    </row>
    <row r="119" spans="2:13" x14ac:dyDescent="0.25">
      <c r="B119" s="1" t="s">
        <v>245</v>
      </c>
      <c r="C119" s="1" t="s">
        <v>246</v>
      </c>
      <c r="D119">
        <v>6</v>
      </c>
      <c r="E119" s="2">
        <v>45690</v>
      </c>
      <c r="F119" s="2">
        <v>45696</v>
      </c>
      <c r="G119" s="1" t="s">
        <v>17</v>
      </c>
      <c r="H119">
        <v>74</v>
      </c>
      <c r="I119" s="19">
        <f>patients[[#This Row],[departure_date]]-patients[[#This Row],[arrival_date]]</f>
        <v>6</v>
      </c>
      <c r="J119" t="str">
        <f>IF(patients[[#This Row],[age]] &lt; 18,"0-17",IF(patients[[#This Row],[age]] &lt; 40,"18-39",IF(patients[[#This Row],[age]] &lt; 65,"40-64","65+")))</f>
        <v>0-17</v>
      </c>
      <c r="K119" s="1" t="str">
        <f>TEXT(patients[[#This Row],[arrival_date]],"[$-409]mmmm")</f>
        <v>February</v>
      </c>
      <c r="L119" s="1">
        <f>MATCH(K119, {"January";"February";"March";"April";"May";"June";"July";"August";"September";"October";"November";"December"}, 0)</f>
        <v>2</v>
      </c>
      <c r="M119" s="1" t="str" cm="1">
        <f t="array" ref="M119">IF(patients[[#This Row],[length_of_stay]]&gt;patients!$N$2:$N$2,"Over average","Less than average")</f>
        <v>Less than average</v>
      </c>
    </row>
    <row r="120" spans="2:13" x14ac:dyDescent="0.25">
      <c r="B120" s="1" t="s">
        <v>247</v>
      </c>
      <c r="C120" s="1" t="s">
        <v>248</v>
      </c>
      <c r="D120">
        <v>31</v>
      </c>
      <c r="E120" s="2">
        <v>45715</v>
      </c>
      <c r="F120" s="2">
        <v>45722</v>
      </c>
      <c r="G120" s="1" t="s">
        <v>14</v>
      </c>
      <c r="H120">
        <v>85</v>
      </c>
      <c r="I120" s="19">
        <f>patients[[#This Row],[departure_date]]-patients[[#This Row],[arrival_date]]</f>
        <v>7</v>
      </c>
      <c r="J120" t="str">
        <f>IF(patients[[#This Row],[age]] &lt; 18,"0-17",IF(patients[[#This Row],[age]] &lt; 40,"18-39",IF(patients[[#This Row],[age]] &lt; 65,"40-64","65+")))</f>
        <v>18-39</v>
      </c>
      <c r="K120" s="1" t="str">
        <f>TEXT(patients[[#This Row],[arrival_date]],"[$-409]mmmm")</f>
        <v>February</v>
      </c>
      <c r="L120" s="1">
        <f>MATCH(K120, {"January";"February";"March";"April";"May";"June";"July";"August";"September";"October";"November";"December"}, 0)</f>
        <v>2</v>
      </c>
      <c r="M120" s="1" t="str" cm="1">
        <f t="array" ref="M120">IF(patients[[#This Row],[length_of_stay]]&gt;patients!$N$2:$N$2,"Over average","Less than average")</f>
        <v>Less than average</v>
      </c>
    </row>
    <row r="121" spans="2:13" x14ac:dyDescent="0.25">
      <c r="B121" s="1" t="s">
        <v>249</v>
      </c>
      <c r="C121" s="1" t="s">
        <v>250</v>
      </c>
      <c r="D121">
        <v>45</v>
      </c>
      <c r="E121" s="2">
        <v>45942</v>
      </c>
      <c r="F121" s="2">
        <v>45946</v>
      </c>
      <c r="G121" s="1" t="s">
        <v>9</v>
      </c>
      <c r="H121">
        <v>76</v>
      </c>
      <c r="I121" s="19">
        <f>patients[[#This Row],[departure_date]]-patients[[#This Row],[arrival_date]]</f>
        <v>4</v>
      </c>
      <c r="J121" t="str">
        <f>IF(patients[[#This Row],[age]] &lt; 18,"0-17",IF(patients[[#This Row],[age]] &lt; 40,"18-39",IF(patients[[#This Row],[age]] &lt; 65,"40-64","65+")))</f>
        <v>40-64</v>
      </c>
      <c r="K121" s="1" t="str">
        <f>TEXT(patients[[#This Row],[arrival_date]],"[$-409]mmmm")</f>
        <v>October</v>
      </c>
      <c r="L121" s="1">
        <f>MATCH(K121, {"January";"February";"March";"April";"May";"June";"July";"August";"September";"October";"November";"December"}, 0)</f>
        <v>10</v>
      </c>
      <c r="M121" s="1" t="str" cm="1">
        <f t="array" ref="M121">IF(patients[[#This Row],[length_of_stay]]&gt;patients!$N$2:$N$2,"Over average","Less than average")</f>
        <v>Less than average</v>
      </c>
    </row>
    <row r="122" spans="2:13" x14ac:dyDescent="0.25">
      <c r="B122" s="1" t="s">
        <v>251</v>
      </c>
      <c r="C122" s="1" t="s">
        <v>252</v>
      </c>
      <c r="D122">
        <v>12</v>
      </c>
      <c r="E122" s="2">
        <v>45696</v>
      </c>
      <c r="F122" s="2">
        <v>45703</v>
      </c>
      <c r="G122" s="1" t="s">
        <v>17</v>
      </c>
      <c r="H122">
        <v>88</v>
      </c>
      <c r="I122" s="19">
        <f>patients[[#This Row],[departure_date]]-patients[[#This Row],[arrival_date]]</f>
        <v>7</v>
      </c>
      <c r="J122" t="str">
        <f>IF(patients[[#This Row],[age]] &lt; 18,"0-17",IF(patients[[#This Row],[age]] &lt; 40,"18-39",IF(patients[[#This Row],[age]] &lt; 65,"40-64","65+")))</f>
        <v>0-17</v>
      </c>
      <c r="K122" s="1" t="str">
        <f>TEXT(patients[[#This Row],[arrival_date]],"[$-409]mmmm")</f>
        <v>February</v>
      </c>
      <c r="L122" s="1">
        <f>MATCH(K122, {"January";"February";"March";"April";"May";"June";"July";"August";"September";"October";"November";"December"}, 0)</f>
        <v>2</v>
      </c>
      <c r="M122" s="1" t="str" cm="1">
        <f t="array" ref="M122">IF(patients[[#This Row],[length_of_stay]]&gt;patients!$N$2:$N$2,"Over average","Less than average")</f>
        <v>Less than average</v>
      </c>
    </row>
    <row r="123" spans="2:13" x14ac:dyDescent="0.25">
      <c r="B123" s="1" t="s">
        <v>253</v>
      </c>
      <c r="C123" s="1" t="s">
        <v>254</v>
      </c>
      <c r="D123">
        <v>28</v>
      </c>
      <c r="E123" s="2">
        <v>45945</v>
      </c>
      <c r="F123" s="2">
        <v>45947</v>
      </c>
      <c r="G123" s="1" t="s">
        <v>14</v>
      </c>
      <c r="H123">
        <v>73</v>
      </c>
      <c r="I123" s="19">
        <f>patients[[#This Row],[departure_date]]-patients[[#This Row],[arrival_date]]</f>
        <v>2</v>
      </c>
      <c r="J123" t="str">
        <f>IF(patients[[#This Row],[age]] &lt; 18,"0-17",IF(patients[[#This Row],[age]] &lt; 40,"18-39",IF(patients[[#This Row],[age]] &lt; 65,"40-64","65+")))</f>
        <v>18-39</v>
      </c>
      <c r="K123" s="1" t="str">
        <f>TEXT(patients[[#This Row],[arrival_date]],"[$-409]mmmm")</f>
        <v>October</v>
      </c>
      <c r="L123" s="1">
        <f>MATCH(K123, {"January";"February";"March";"April";"May";"June";"July";"August";"September";"October";"November";"December"}, 0)</f>
        <v>10</v>
      </c>
      <c r="M123" s="1" t="str" cm="1">
        <f t="array" ref="M123">IF(patients[[#This Row],[length_of_stay]]&gt;patients!$N$2:$N$2,"Over average","Less than average")</f>
        <v>Less than average</v>
      </c>
    </row>
    <row r="124" spans="2:13" x14ac:dyDescent="0.25">
      <c r="B124" s="1" t="s">
        <v>255</v>
      </c>
      <c r="C124" s="1" t="s">
        <v>256</v>
      </c>
      <c r="D124">
        <v>83</v>
      </c>
      <c r="E124" s="2">
        <v>45684</v>
      </c>
      <c r="F124" s="2">
        <v>45687</v>
      </c>
      <c r="G124" s="1" t="s">
        <v>9</v>
      </c>
      <c r="H124">
        <v>76</v>
      </c>
      <c r="I124" s="19">
        <f>patients[[#This Row],[departure_date]]-patients[[#This Row],[arrival_date]]</f>
        <v>3</v>
      </c>
      <c r="J124" t="str">
        <f>IF(patients[[#This Row],[age]] &lt; 18,"0-17",IF(patients[[#This Row],[age]] &lt; 40,"18-39",IF(patients[[#This Row],[age]] &lt; 65,"40-64","65+")))</f>
        <v>65+</v>
      </c>
      <c r="K124" s="1" t="str">
        <f>TEXT(patients[[#This Row],[arrival_date]],"[$-409]mmmm")</f>
        <v>January</v>
      </c>
      <c r="L124" s="1">
        <f>MATCH(K124, {"January";"February";"March";"April";"May";"June";"July";"August";"September";"October";"November";"December"}, 0)</f>
        <v>1</v>
      </c>
      <c r="M124" s="1" t="str" cm="1">
        <f t="array" ref="M124">IF(patients[[#This Row],[length_of_stay]]&gt;patients!$N$2:$N$2,"Over average","Less than average")</f>
        <v>Less than average</v>
      </c>
    </row>
    <row r="125" spans="2:13" x14ac:dyDescent="0.25">
      <c r="B125" s="1" t="s">
        <v>257</v>
      </c>
      <c r="C125" s="1" t="s">
        <v>258</v>
      </c>
      <c r="D125">
        <v>55</v>
      </c>
      <c r="E125" s="2">
        <v>45678</v>
      </c>
      <c r="F125" s="2">
        <v>45683</v>
      </c>
      <c r="G125" s="1" t="s">
        <v>20</v>
      </c>
      <c r="H125">
        <v>79</v>
      </c>
      <c r="I125" s="19">
        <f>patients[[#This Row],[departure_date]]-patients[[#This Row],[arrival_date]]</f>
        <v>5</v>
      </c>
      <c r="J125" t="str">
        <f>IF(patients[[#This Row],[age]] &lt; 18,"0-17",IF(patients[[#This Row],[age]] &lt; 40,"18-39",IF(patients[[#This Row],[age]] &lt; 65,"40-64","65+")))</f>
        <v>40-64</v>
      </c>
      <c r="K125" s="1" t="str">
        <f>TEXT(patients[[#This Row],[arrival_date]],"[$-409]mmmm")</f>
        <v>January</v>
      </c>
      <c r="L125" s="1">
        <f>MATCH(K125, {"January";"February";"March";"April";"May";"June";"July";"August";"September";"October";"November";"December"}, 0)</f>
        <v>1</v>
      </c>
      <c r="M125" s="1" t="str" cm="1">
        <f t="array" ref="M125">IF(patients[[#This Row],[length_of_stay]]&gt;patients!$N$2:$N$2,"Over average","Less than average")</f>
        <v>Less than average</v>
      </c>
    </row>
    <row r="126" spans="2:13" x14ac:dyDescent="0.25">
      <c r="B126" s="1" t="s">
        <v>259</v>
      </c>
      <c r="C126" s="1" t="s">
        <v>260</v>
      </c>
      <c r="D126">
        <v>5</v>
      </c>
      <c r="E126" s="2">
        <v>45914</v>
      </c>
      <c r="F126" s="2">
        <v>45924</v>
      </c>
      <c r="G126" s="1" t="s">
        <v>14</v>
      </c>
      <c r="H126">
        <v>97</v>
      </c>
      <c r="I126" s="19">
        <f>patients[[#This Row],[departure_date]]-patients[[#This Row],[arrival_date]]</f>
        <v>10</v>
      </c>
      <c r="J126" t="str">
        <f>IF(patients[[#This Row],[age]] &lt; 18,"0-17",IF(patients[[#This Row],[age]] &lt; 40,"18-39",IF(patients[[#This Row],[age]] &lt; 65,"40-64","65+")))</f>
        <v>0-17</v>
      </c>
      <c r="K126" s="1" t="str">
        <f>TEXT(patients[[#This Row],[arrival_date]],"[$-409]mmmm")</f>
        <v>September</v>
      </c>
      <c r="L126" s="1">
        <f>MATCH(K126, {"January";"February";"March";"April";"May";"June";"July";"August";"September";"October";"November";"December"}, 0)</f>
        <v>9</v>
      </c>
      <c r="M126" s="1" t="str" cm="1">
        <f t="array" ref="M126">IF(patients[[#This Row],[length_of_stay]]&gt;patients!$N$2:$N$2,"Over average","Less than average")</f>
        <v>Over average</v>
      </c>
    </row>
    <row r="127" spans="2:13" x14ac:dyDescent="0.25">
      <c r="B127" s="1" t="s">
        <v>261</v>
      </c>
      <c r="C127" s="1" t="s">
        <v>262</v>
      </c>
      <c r="D127">
        <v>14</v>
      </c>
      <c r="E127" s="2">
        <v>45820</v>
      </c>
      <c r="F127" s="2">
        <v>45821</v>
      </c>
      <c r="G127" s="1" t="s">
        <v>9</v>
      </c>
      <c r="H127">
        <v>84</v>
      </c>
      <c r="I127" s="19">
        <f>patients[[#This Row],[departure_date]]-patients[[#This Row],[arrival_date]]</f>
        <v>1</v>
      </c>
      <c r="J127" t="str">
        <f>IF(patients[[#This Row],[age]] &lt; 18,"0-17",IF(patients[[#This Row],[age]] &lt; 40,"18-39",IF(patients[[#This Row],[age]] &lt; 65,"40-64","65+")))</f>
        <v>0-17</v>
      </c>
      <c r="K127" s="1" t="str">
        <f>TEXT(patients[[#This Row],[arrival_date]],"[$-409]mmmm")</f>
        <v>June</v>
      </c>
      <c r="L127" s="1">
        <f>MATCH(K127, {"January";"February";"March";"April";"May";"June";"July";"August";"September";"October";"November";"December"}, 0)</f>
        <v>6</v>
      </c>
      <c r="M127" s="1" t="str" cm="1">
        <f t="array" ref="M127">IF(patients[[#This Row],[length_of_stay]]&gt;patients!$N$2:$N$2,"Over average","Less than average")</f>
        <v>Less than average</v>
      </c>
    </row>
    <row r="128" spans="2:13" x14ac:dyDescent="0.25">
      <c r="B128" s="1" t="s">
        <v>263</v>
      </c>
      <c r="C128" s="1" t="s">
        <v>264</v>
      </c>
      <c r="D128">
        <v>23</v>
      </c>
      <c r="E128" s="2">
        <v>45931</v>
      </c>
      <c r="F128" s="2">
        <v>45943</v>
      </c>
      <c r="G128" s="1" t="s">
        <v>20</v>
      </c>
      <c r="H128">
        <v>75</v>
      </c>
      <c r="I128" s="19">
        <f>patients[[#This Row],[departure_date]]-patients[[#This Row],[arrival_date]]</f>
        <v>12</v>
      </c>
      <c r="J128" t="str">
        <f>IF(patients[[#This Row],[age]] &lt; 18,"0-17",IF(patients[[#This Row],[age]] &lt; 40,"18-39",IF(patients[[#This Row],[age]] &lt; 65,"40-64","65+")))</f>
        <v>18-39</v>
      </c>
      <c r="K128" s="1" t="str">
        <f>TEXT(patients[[#This Row],[arrival_date]],"[$-409]mmmm")</f>
        <v>October</v>
      </c>
      <c r="L128" s="1">
        <f>MATCH(K128, {"January";"February";"March";"April";"May";"June";"July";"August";"September";"October";"November";"December"}, 0)</f>
        <v>10</v>
      </c>
      <c r="M128" s="1" t="str" cm="1">
        <f t="array" ref="M128">IF(patients[[#This Row],[length_of_stay]]&gt;patients!$N$2:$N$2,"Over average","Less than average")</f>
        <v>Over average</v>
      </c>
    </row>
    <row r="129" spans="2:13" x14ac:dyDescent="0.25">
      <c r="B129" s="1" t="s">
        <v>265</v>
      </c>
      <c r="C129" s="1" t="s">
        <v>266</v>
      </c>
      <c r="D129">
        <v>26</v>
      </c>
      <c r="E129" s="2">
        <v>45717</v>
      </c>
      <c r="F129" s="2">
        <v>45731</v>
      </c>
      <c r="G129" s="1" t="s">
        <v>20</v>
      </c>
      <c r="H129">
        <v>84</v>
      </c>
      <c r="I129" s="19">
        <f>patients[[#This Row],[departure_date]]-patients[[#This Row],[arrival_date]]</f>
        <v>14</v>
      </c>
      <c r="J129" t="str">
        <f>IF(patients[[#This Row],[age]] &lt; 18,"0-17",IF(patients[[#This Row],[age]] &lt; 40,"18-39",IF(patients[[#This Row],[age]] &lt; 65,"40-64","65+")))</f>
        <v>18-39</v>
      </c>
      <c r="K129" s="1" t="str">
        <f>TEXT(patients[[#This Row],[arrival_date]],"[$-409]mmmm")</f>
        <v>March</v>
      </c>
      <c r="L129" s="1">
        <f>MATCH(K129, {"January";"February";"March";"April";"May";"June";"July";"August";"September";"October";"November";"December"}, 0)</f>
        <v>3</v>
      </c>
      <c r="M129" s="1" t="str" cm="1">
        <f t="array" ref="M129">IF(patients[[#This Row],[length_of_stay]]&gt;patients!$N$2:$N$2,"Over average","Less than average")</f>
        <v>Over average</v>
      </c>
    </row>
    <row r="130" spans="2:13" x14ac:dyDescent="0.25">
      <c r="B130" s="1" t="s">
        <v>267</v>
      </c>
      <c r="C130" s="1" t="s">
        <v>268</v>
      </c>
      <c r="D130">
        <v>16</v>
      </c>
      <c r="E130" s="2">
        <v>45966</v>
      </c>
      <c r="F130" s="2">
        <v>45974</v>
      </c>
      <c r="G130" s="1" t="s">
        <v>17</v>
      </c>
      <c r="H130">
        <v>74</v>
      </c>
      <c r="I130" s="19">
        <f>patients[[#This Row],[departure_date]]-patients[[#This Row],[arrival_date]]</f>
        <v>8</v>
      </c>
      <c r="J130" t="str">
        <f>IF(patients[[#This Row],[age]] &lt; 18,"0-17",IF(patients[[#This Row],[age]] &lt; 40,"18-39",IF(patients[[#This Row],[age]] &lt; 65,"40-64","65+")))</f>
        <v>0-17</v>
      </c>
      <c r="K130" s="1" t="str">
        <f>TEXT(patients[[#This Row],[arrival_date]],"[$-409]mmmm")</f>
        <v>November</v>
      </c>
      <c r="L130" s="1">
        <f>MATCH(K130, {"January";"February";"March";"April";"May";"June";"July";"August";"September";"October";"November";"December"}, 0)</f>
        <v>11</v>
      </c>
      <c r="M130" s="1" t="str" cm="1">
        <f t="array" ref="M130">IF(patients[[#This Row],[length_of_stay]]&gt;patients!$N$2:$N$2,"Over average","Less than average")</f>
        <v>Over average</v>
      </c>
    </row>
    <row r="131" spans="2:13" x14ac:dyDescent="0.25">
      <c r="B131" s="1" t="s">
        <v>269</v>
      </c>
      <c r="C131" s="1" t="s">
        <v>270</v>
      </c>
      <c r="D131">
        <v>26</v>
      </c>
      <c r="E131" s="2">
        <v>45707</v>
      </c>
      <c r="F131" s="2">
        <v>45711</v>
      </c>
      <c r="G131" s="1" t="s">
        <v>9</v>
      </c>
      <c r="H131">
        <v>66</v>
      </c>
      <c r="I131" s="19">
        <f>patients[[#This Row],[departure_date]]-patients[[#This Row],[arrival_date]]</f>
        <v>4</v>
      </c>
      <c r="J131" t="str">
        <f>IF(patients[[#This Row],[age]] &lt; 18,"0-17",IF(patients[[#This Row],[age]] &lt; 40,"18-39",IF(patients[[#This Row],[age]] &lt; 65,"40-64","65+")))</f>
        <v>18-39</v>
      </c>
      <c r="K131" s="1" t="str">
        <f>TEXT(patients[[#This Row],[arrival_date]],"[$-409]mmmm")</f>
        <v>February</v>
      </c>
      <c r="L131" s="1">
        <f>MATCH(K131, {"January";"February";"March";"April";"May";"June";"July";"August";"September";"October";"November";"December"}, 0)</f>
        <v>2</v>
      </c>
      <c r="M131" s="1" t="str" cm="1">
        <f t="array" ref="M131">IF(patients[[#This Row],[length_of_stay]]&gt;patients!$N$2:$N$2,"Over average","Less than average")</f>
        <v>Less than average</v>
      </c>
    </row>
    <row r="132" spans="2:13" x14ac:dyDescent="0.25">
      <c r="B132" s="1" t="s">
        <v>271</v>
      </c>
      <c r="C132" s="1" t="s">
        <v>272</v>
      </c>
      <c r="D132">
        <v>2</v>
      </c>
      <c r="E132" s="2">
        <v>45838</v>
      </c>
      <c r="F132" s="2">
        <v>45846</v>
      </c>
      <c r="G132" s="1" t="s">
        <v>17</v>
      </c>
      <c r="H132">
        <v>62</v>
      </c>
      <c r="I132" s="19">
        <f>patients[[#This Row],[departure_date]]-patients[[#This Row],[arrival_date]]</f>
        <v>8</v>
      </c>
      <c r="J132" t="str">
        <f>IF(patients[[#This Row],[age]] &lt; 18,"0-17",IF(patients[[#This Row],[age]] &lt; 40,"18-39",IF(patients[[#This Row],[age]] &lt; 65,"40-64","65+")))</f>
        <v>0-17</v>
      </c>
      <c r="K132" s="1" t="str">
        <f>TEXT(patients[[#This Row],[arrival_date]],"[$-409]mmmm")</f>
        <v>June</v>
      </c>
      <c r="L132" s="1">
        <f>MATCH(K132, {"January";"February";"March";"April";"May";"June";"July";"August";"September";"October";"November";"December"}, 0)</f>
        <v>6</v>
      </c>
      <c r="M132" s="1" t="str" cm="1">
        <f t="array" ref="M132">IF(patients[[#This Row],[length_of_stay]]&gt;patients!$N$2:$N$2,"Over average","Less than average")</f>
        <v>Over average</v>
      </c>
    </row>
    <row r="133" spans="2:13" x14ac:dyDescent="0.25">
      <c r="B133" s="1" t="s">
        <v>273</v>
      </c>
      <c r="C133" s="1" t="s">
        <v>274</v>
      </c>
      <c r="D133">
        <v>19</v>
      </c>
      <c r="E133" s="2">
        <v>45672</v>
      </c>
      <c r="F133" s="2">
        <v>45681</v>
      </c>
      <c r="G133" s="1" t="s">
        <v>9</v>
      </c>
      <c r="H133">
        <v>89</v>
      </c>
      <c r="I133" s="19">
        <f>patients[[#This Row],[departure_date]]-patients[[#This Row],[arrival_date]]</f>
        <v>9</v>
      </c>
      <c r="J133" t="str">
        <f>IF(patients[[#This Row],[age]] &lt; 18,"0-17",IF(patients[[#This Row],[age]] &lt; 40,"18-39",IF(patients[[#This Row],[age]] &lt; 65,"40-64","65+")))</f>
        <v>18-39</v>
      </c>
      <c r="K133" s="1" t="str">
        <f>TEXT(patients[[#This Row],[arrival_date]],"[$-409]mmmm")</f>
        <v>January</v>
      </c>
      <c r="L133" s="1">
        <f>MATCH(K133, {"January";"February";"March";"April";"May";"June";"July";"August";"September";"October";"November";"December"}, 0)</f>
        <v>1</v>
      </c>
      <c r="M133" s="1" t="str" cm="1">
        <f t="array" ref="M133">IF(patients[[#This Row],[length_of_stay]]&gt;patients!$N$2:$N$2,"Over average","Less than average")</f>
        <v>Over average</v>
      </c>
    </row>
    <row r="134" spans="2:13" x14ac:dyDescent="0.25">
      <c r="B134" s="1" t="s">
        <v>275</v>
      </c>
      <c r="C134" s="1" t="s">
        <v>276</v>
      </c>
      <c r="D134">
        <v>77</v>
      </c>
      <c r="E134" s="2">
        <v>45930</v>
      </c>
      <c r="F134" s="2">
        <v>45944</v>
      </c>
      <c r="G134" s="1" t="s">
        <v>14</v>
      </c>
      <c r="H134">
        <v>79</v>
      </c>
      <c r="I134" s="19">
        <f>patients[[#This Row],[departure_date]]-patients[[#This Row],[arrival_date]]</f>
        <v>14</v>
      </c>
      <c r="J134" t="str">
        <f>IF(patients[[#This Row],[age]] &lt; 18,"0-17",IF(patients[[#This Row],[age]] &lt; 40,"18-39",IF(patients[[#This Row],[age]] &lt; 65,"40-64","65+")))</f>
        <v>65+</v>
      </c>
      <c r="K134" s="1" t="str">
        <f>TEXT(patients[[#This Row],[arrival_date]],"[$-409]mmmm")</f>
        <v>September</v>
      </c>
      <c r="L134" s="1">
        <f>MATCH(K134, {"January";"February";"March";"April";"May";"June";"July";"August";"September";"October";"November";"December"}, 0)</f>
        <v>9</v>
      </c>
      <c r="M134" s="1" t="str" cm="1">
        <f t="array" ref="M134">IF(patients[[#This Row],[length_of_stay]]&gt;patients!$N$2:$N$2,"Over average","Less than average")</f>
        <v>Over average</v>
      </c>
    </row>
    <row r="135" spans="2:13" x14ac:dyDescent="0.25">
      <c r="B135" s="1" t="s">
        <v>277</v>
      </c>
      <c r="C135" s="1" t="s">
        <v>278</v>
      </c>
      <c r="D135">
        <v>8</v>
      </c>
      <c r="E135" s="2">
        <v>45976</v>
      </c>
      <c r="F135" s="2">
        <v>45982</v>
      </c>
      <c r="G135" s="1" t="s">
        <v>9</v>
      </c>
      <c r="H135">
        <v>61</v>
      </c>
      <c r="I135" s="19">
        <f>patients[[#This Row],[departure_date]]-patients[[#This Row],[arrival_date]]</f>
        <v>6</v>
      </c>
      <c r="J135" t="str">
        <f>IF(patients[[#This Row],[age]] &lt; 18,"0-17",IF(patients[[#This Row],[age]] &lt; 40,"18-39",IF(patients[[#This Row],[age]] &lt; 65,"40-64","65+")))</f>
        <v>0-17</v>
      </c>
      <c r="K135" s="1" t="str">
        <f>TEXT(patients[[#This Row],[arrival_date]],"[$-409]mmmm")</f>
        <v>November</v>
      </c>
      <c r="L135" s="1">
        <f>MATCH(K135, {"January";"February";"March";"April";"May";"June";"July";"August";"September";"October";"November";"December"}, 0)</f>
        <v>11</v>
      </c>
      <c r="M135" s="1" t="str" cm="1">
        <f t="array" ref="M135">IF(patients[[#This Row],[length_of_stay]]&gt;patients!$N$2:$N$2,"Over average","Less than average")</f>
        <v>Less than average</v>
      </c>
    </row>
    <row r="136" spans="2:13" x14ac:dyDescent="0.25">
      <c r="B136" s="1" t="s">
        <v>279</v>
      </c>
      <c r="C136" s="1" t="s">
        <v>280</v>
      </c>
      <c r="D136">
        <v>87</v>
      </c>
      <c r="E136" s="2">
        <v>45721</v>
      </c>
      <c r="F136" s="2">
        <v>45734</v>
      </c>
      <c r="G136" s="1" t="s">
        <v>20</v>
      </c>
      <c r="H136">
        <v>76</v>
      </c>
      <c r="I136" s="19">
        <f>patients[[#This Row],[departure_date]]-patients[[#This Row],[arrival_date]]</f>
        <v>13</v>
      </c>
      <c r="J136" t="str">
        <f>IF(patients[[#This Row],[age]] &lt; 18,"0-17",IF(patients[[#This Row],[age]] &lt; 40,"18-39",IF(patients[[#This Row],[age]] &lt; 65,"40-64","65+")))</f>
        <v>65+</v>
      </c>
      <c r="K136" s="1" t="str">
        <f>TEXT(patients[[#This Row],[arrival_date]],"[$-409]mmmm")</f>
        <v>March</v>
      </c>
      <c r="L136" s="1">
        <f>MATCH(K136, {"January";"February";"March";"April";"May";"June";"July";"August";"September";"October";"November";"December"}, 0)</f>
        <v>3</v>
      </c>
      <c r="M136" s="1" t="str" cm="1">
        <f t="array" ref="M136">IF(patients[[#This Row],[length_of_stay]]&gt;patients!$N$2:$N$2,"Over average","Less than average")</f>
        <v>Over average</v>
      </c>
    </row>
    <row r="137" spans="2:13" x14ac:dyDescent="0.25">
      <c r="B137" s="1" t="s">
        <v>281</v>
      </c>
      <c r="C137" s="1" t="s">
        <v>282</v>
      </c>
      <c r="D137">
        <v>71</v>
      </c>
      <c r="E137" s="2">
        <v>45931</v>
      </c>
      <c r="F137" s="2">
        <v>45945</v>
      </c>
      <c r="G137" s="1" t="s">
        <v>17</v>
      </c>
      <c r="H137">
        <v>77</v>
      </c>
      <c r="I137" s="19">
        <f>patients[[#This Row],[departure_date]]-patients[[#This Row],[arrival_date]]</f>
        <v>14</v>
      </c>
      <c r="J137" t="str">
        <f>IF(patients[[#This Row],[age]] &lt; 18,"0-17",IF(patients[[#This Row],[age]] &lt; 40,"18-39",IF(patients[[#This Row],[age]] &lt; 65,"40-64","65+")))</f>
        <v>65+</v>
      </c>
      <c r="K137" s="1" t="str">
        <f>TEXT(patients[[#This Row],[arrival_date]],"[$-409]mmmm")</f>
        <v>October</v>
      </c>
      <c r="L137" s="1">
        <f>MATCH(K137, {"January";"February";"March";"April";"May";"June";"July";"August";"September";"October";"November";"December"}, 0)</f>
        <v>10</v>
      </c>
      <c r="M137" s="1" t="str" cm="1">
        <f t="array" ref="M137">IF(patients[[#This Row],[length_of_stay]]&gt;patients!$N$2:$N$2,"Over average","Less than average")</f>
        <v>Over average</v>
      </c>
    </row>
    <row r="138" spans="2:13" x14ac:dyDescent="0.25">
      <c r="B138" s="1" t="s">
        <v>283</v>
      </c>
      <c r="C138" s="1" t="s">
        <v>284</v>
      </c>
      <c r="D138">
        <v>37</v>
      </c>
      <c r="E138" s="2">
        <v>45668</v>
      </c>
      <c r="F138" s="2">
        <v>45681</v>
      </c>
      <c r="G138" s="1" t="s">
        <v>20</v>
      </c>
      <c r="H138">
        <v>84</v>
      </c>
      <c r="I138" s="19">
        <f>patients[[#This Row],[departure_date]]-patients[[#This Row],[arrival_date]]</f>
        <v>13</v>
      </c>
      <c r="J138" t="str">
        <f>IF(patients[[#This Row],[age]] &lt; 18,"0-17",IF(patients[[#This Row],[age]] &lt; 40,"18-39",IF(patients[[#This Row],[age]] &lt; 65,"40-64","65+")))</f>
        <v>18-39</v>
      </c>
      <c r="K138" s="1" t="str">
        <f>TEXT(patients[[#This Row],[arrival_date]],"[$-409]mmmm")</f>
        <v>January</v>
      </c>
      <c r="L138" s="1">
        <f>MATCH(K138, {"January";"February";"March";"April";"May";"June";"July";"August";"September";"October";"November";"December"}, 0)</f>
        <v>1</v>
      </c>
      <c r="M138" s="1" t="str" cm="1">
        <f t="array" ref="M138">IF(patients[[#This Row],[length_of_stay]]&gt;patients!$N$2:$N$2,"Over average","Less than average")</f>
        <v>Over average</v>
      </c>
    </row>
    <row r="139" spans="2:13" x14ac:dyDescent="0.25">
      <c r="B139" s="1" t="s">
        <v>285</v>
      </c>
      <c r="C139" s="1" t="s">
        <v>286</v>
      </c>
      <c r="D139">
        <v>32</v>
      </c>
      <c r="E139" s="2">
        <v>45759</v>
      </c>
      <c r="F139" s="2">
        <v>45768</v>
      </c>
      <c r="G139" s="1" t="s">
        <v>20</v>
      </c>
      <c r="H139">
        <v>67</v>
      </c>
      <c r="I139" s="19">
        <f>patients[[#This Row],[departure_date]]-patients[[#This Row],[arrival_date]]</f>
        <v>9</v>
      </c>
      <c r="J139" t="str">
        <f>IF(patients[[#This Row],[age]] &lt; 18,"0-17",IF(patients[[#This Row],[age]] &lt; 40,"18-39",IF(patients[[#This Row],[age]] &lt; 65,"40-64","65+")))</f>
        <v>18-39</v>
      </c>
      <c r="K139" s="1" t="str">
        <f>TEXT(patients[[#This Row],[arrival_date]],"[$-409]mmmm")</f>
        <v>April</v>
      </c>
      <c r="L139" s="1">
        <f>MATCH(K139, {"January";"February";"March";"April";"May";"June";"July";"August";"September";"October";"November";"December"}, 0)</f>
        <v>4</v>
      </c>
      <c r="M139" s="1" t="str" cm="1">
        <f t="array" ref="M139">IF(patients[[#This Row],[length_of_stay]]&gt;patients!$N$2:$N$2,"Over average","Less than average")</f>
        <v>Over average</v>
      </c>
    </row>
    <row r="140" spans="2:13" x14ac:dyDescent="0.25">
      <c r="B140" s="1" t="s">
        <v>287</v>
      </c>
      <c r="C140" s="1" t="s">
        <v>288</v>
      </c>
      <c r="D140">
        <v>10</v>
      </c>
      <c r="E140" s="2">
        <v>45836</v>
      </c>
      <c r="F140" s="2">
        <v>45844</v>
      </c>
      <c r="G140" s="1" t="s">
        <v>9</v>
      </c>
      <c r="H140">
        <v>76</v>
      </c>
      <c r="I140" s="19">
        <f>patients[[#This Row],[departure_date]]-patients[[#This Row],[arrival_date]]</f>
        <v>8</v>
      </c>
      <c r="J140" t="str">
        <f>IF(patients[[#This Row],[age]] &lt; 18,"0-17",IF(patients[[#This Row],[age]] &lt; 40,"18-39",IF(patients[[#This Row],[age]] &lt; 65,"40-64","65+")))</f>
        <v>0-17</v>
      </c>
      <c r="K140" s="1" t="str">
        <f>TEXT(patients[[#This Row],[arrival_date]],"[$-409]mmmm")</f>
        <v>June</v>
      </c>
      <c r="L140" s="1">
        <f>MATCH(K140, {"January";"February";"March";"April";"May";"June";"July";"August";"September";"October";"November";"December"}, 0)</f>
        <v>6</v>
      </c>
      <c r="M140" s="1" t="str" cm="1">
        <f t="array" ref="M140">IF(patients[[#This Row],[length_of_stay]]&gt;patients!$N$2:$N$2,"Over average","Less than average")</f>
        <v>Over average</v>
      </c>
    </row>
    <row r="141" spans="2:13" x14ac:dyDescent="0.25">
      <c r="B141" s="1" t="s">
        <v>289</v>
      </c>
      <c r="C141" s="1" t="s">
        <v>290</v>
      </c>
      <c r="D141">
        <v>75</v>
      </c>
      <c r="E141" s="2">
        <v>45703</v>
      </c>
      <c r="F141" s="2">
        <v>45709</v>
      </c>
      <c r="G141" s="1" t="s">
        <v>17</v>
      </c>
      <c r="H141">
        <v>81</v>
      </c>
      <c r="I141" s="19">
        <f>patients[[#This Row],[departure_date]]-patients[[#This Row],[arrival_date]]</f>
        <v>6</v>
      </c>
      <c r="J141" t="str">
        <f>IF(patients[[#This Row],[age]] &lt; 18,"0-17",IF(patients[[#This Row],[age]] &lt; 40,"18-39",IF(patients[[#This Row],[age]] &lt; 65,"40-64","65+")))</f>
        <v>65+</v>
      </c>
      <c r="K141" s="1" t="str">
        <f>TEXT(patients[[#This Row],[arrival_date]],"[$-409]mmmm")</f>
        <v>February</v>
      </c>
      <c r="L141" s="1">
        <f>MATCH(K141, {"January";"February";"March";"April";"May";"June";"July";"August";"September";"October";"November";"December"}, 0)</f>
        <v>2</v>
      </c>
      <c r="M141" s="1" t="str" cm="1">
        <f t="array" ref="M141">IF(patients[[#This Row],[length_of_stay]]&gt;patients!$N$2:$N$2,"Over average","Less than average")</f>
        <v>Less than average</v>
      </c>
    </row>
    <row r="142" spans="2:13" x14ac:dyDescent="0.25">
      <c r="B142" s="1" t="s">
        <v>291</v>
      </c>
      <c r="C142" s="1" t="s">
        <v>292</v>
      </c>
      <c r="D142">
        <v>19</v>
      </c>
      <c r="E142" s="2">
        <v>45859</v>
      </c>
      <c r="F142" s="2">
        <v>45867</v>
      </c>
      <c r="G142" s="1" t="s">
        <v>17</v>
      </c>
      <c r="H142">
        <v>91</v>
      </c>
      <c r="I142" s="19">
        <f>patients[[#This Row],[departure_date]]-patients[[#This Row],[arrival_date]]</f>
        <v>8</v>
      </c>
      <c r="J142" t="str">
        <f>IF(patients[[#This Row],[age]] &lt; 18,"0-17",IF(patients[[#This Row],[age]] &lt; 40,"18-39",IF(patients[[#This Row],[age]] &lt; 65,"40-64","65+")))</f>
        <v>18-39</v>
      </c>
      <c r="K142" s="1" t="str">
        <f>TEXT(patients[[#This Row],[arrival_date]],"[$-409]mmmm")</f>
        <v>July</v>
      </c>
      <c r="L142" s="1">
        <f>MATCH(K142, {"January";"February";"March";"April";"May";"June";"July";"August";"September";"October";"November";"December"}, 0)</f>
        <v>7</v>
      </c>
      <c r="M142" s="1" t="str" cm="1">
        <f t="array" ref="M142">IF(patients[[#This Row],[length_of_stay]]&gt;patients!$N$2:$N$2,"Over average","Less than average")</f>
        <v>Over average</v>
      </c>
    </row>
    <row r="143" spans="2:13" x14ac:dyDescent="0.25">
      <c r="B143" s="1" t="s">
        <v>293</v>
      </c>
      <c r="C143" s="1" t="s">
        <v>294</v>
      </c>
      <c r="D143">
        <v>1</v>
      </c>
      <c r="E143" s="2">
        <v>45946</v>
      </c>
      <c r="F143" s="2">
        <v>45955</v>
      </c>
      <c r="G143" s="1" t="s">
        <v>17</v>
      </c>
      <c r="H143">
        <v>72</v>
      </c>
      <c r="I143" s="19">
        <f>patients[[#This Row],[departure_date]]-patients[[#This Row],[arrival_date]]</f>
        <v>9</v>
      </c>
      <c r="J143" t="str">
        <f>IF(patients[[#This Row],[age]] &lt; 18,"0-17",IF(patients[[#This Row],[age]] &lt; 40,"18-39",IF(patients[[#This Row],[age]] &lt; 65,"40-64","65+")))</f>
        <v>0-17</v>
      </c>
      <c r="K143" s="1" t="str">
        <f>TEXT(patients[[#This Row],[arrival_date]],"[$-409]mmmm")</f>
        <v>October</v>
      </c>
      <c r="L143" s="1">
        <f>MATCH(K143, {"January";"February";"March";"April";"May";"June";"July";"August";"September";"October";"November";"December"}, 0)</f>
        <v>10</v>
      </c>
      <c r="M143" s="1" t="str" cm="1">
        <f t="array" ref="M143">IF(patients[[#This Row],[length_of_stay]]&gt;patients!$N$2:$N$2,"Over average","Less than average")</f>
        <v>Over average</v>
      </c>
    </row>
    <row r="144" spans="2:13" x14ac:dyDescent="0.25">
      <c r="B144" s="1" t="s">
        <v>295</v>
      </c>
      <c r="C144" s="1" t="s">
        <v>296</v>
      </c>
      <c r="D144">
        <v>29</v>
      </c>
      <c r="E144" s="2">
        <v>45734</v>
      </c>
      <c r="F144" s="2">
        <v>45738</v>
      </c>
      <c r="G144" s="1" t="s">
        <v>17</v>
      </c>
      <c r="H144">
        <v>85</v>
      </c>
      <c r="I144" s="19">
        <f>patients[[#This Row],[departure_date]]-patients[[#This Row],[arrival_date]]</f>
        <v>4</v>
      </c>
      <c r="J144" t="str">
        <f>IF(patients[[#This Row],[age]] &lt; 18,"0-17",IF(patients[[#This Row],[age]] &lt; 40,"18-39",IF(patients[[#This Row],[age]] &lt; 65,"40-64","65+")))</f>
        <v>18-39</v>
      </c>
      <c r="K144" s="1" t="str">
        <f>TEXT(patients[[#This Row],[arrival_date]],"[$-409]mmmm")</f>
        <v>March</v>
      </c>
      <c r="L144" s="1">
        <f>MATCH(K144, {"January";"February";"March";"April";"May";"June";"July";"August";"September";"October";"November";"December"}, 0)</f>
        <v>3</v>
      </c>
      <c r="M144" s="1" t="str" cm="1">
        <f t="array" ref="M144">IF(patients[[#This Row],[length_of_stay]]&gt;patients!$N$2:$N$2,"Over average","Less than average")</f>
        <v>Less than average</v>
      </c>
    </row>
    <row r="145" spans="2:13" x14ac:dyDescent="0.25">
      <c r="B145" s="1" t="s">
        <v>297</v>
      </c>
      <c r="C145" s="1" t="s">
        <v>298</v>
      </c>
      <c r="D145">
        <v>21</v>
      </c>
      <c r="E145" s="2">
        <v>45851</v>
      </c>
      <c r="F145" s="2">
        <v>45857</v>
      </c>
      <c r="G145" s="1" t="s">
        <v>14</v>
      </c>
      <c r="H145">
        <v>98</v>
      </c>
      <c r="I145" s="19">
        <f>patients[[#This Row],[departure_date]]-patients[[#This Row],[arrival_date]]</f>
        <v>6</v>
      </c>
      <c r="J145" t="str">
        <f>IF(patients[[#This Row],[age]] &lt; 18,"0-17",IF(patients[[#This Row],[age]] &lt; 40,"18-39",IF(patients[[#This Row],[age]] &lt; 65,"40-64","65+")))</f>
        <v>18-39</v>
      </c>
      <c r="K145" s="1" t="str">
        <f>TEXT(patients[[#This Row],[arrival_date]],"[$-409]mmmm")</f>
        <v>July</v>
      </c>
      <c r="L145" s="1">
        <f>MATCH(K145, {"January";"February";"March";"April";"May";"June";"July";"August";"September";"October";"November";"December"}, 0)</f>
        <v>7</v>
      </c>
      <c r="M145" s="1" t="str" cm="1">
        <f t="array" ref="M145">IF(patients[[#This Row],[length_of_stay]]&gt;patients!$N$2:$N$2,"Over average","Less than average")</f>
        <v>Less than average</v>
      </c>
    </row>
    <row r="146" spans="2:13" x14ac:dyDescent="0.25">
      <c r="B146" s="1" t="s">
        <v>299</v>
      </c>
      <c r="C146" s="1" t="s">
        <v>300</v>
      </c>
      <c r="D146">
        <v>89</v>
      </c>
      <c r="E146" s="2">
        <v>45779</v>
      </c>
      <c r="F146" s="2">
        <v>45781</v>
      </c>
      <c r="G146" s="1" t="s">
        <v>9</v>
      </c>
      <c r="H146">
        <v>74</v>
      </c>
      <c r="I146" s="19">
        <f>patients[[#This Row],[departure_date]]-patients[[#This Row],[arrival_date]]</f>
        <v>2</v>
      </c>
      <c r="J146" t="str">
        <f>IF(patients[[#This Row],[age]] &lt; 18,"0-17",IF(patients[[#This Row],[age]] &lt; 40,"18-39",IF(patients[[#This Row],[age]] &lt; 65,"40-64","65+")))</f>
        <v>65+</v>
      </c>
      <c r="K146" s="1" t="str">
        <f>TEXT(patients[[#This Row],[arrival_date]],"[$-409]mmmm")</f>
        <v>May</v>
      </c>
      <c r="L146" s="1">
        <f>MATCH(K146, {"January";"February";"March";"April";"May";"June";"July";"August";"September";"October";"November";"December"}, 0)</f>
        <v>5</v>
      </c>
      <c r="M146" s="1" t="str" cm="1">
        <f t="array" ref="M146">IF(patients[[#This Row],[length_of_stay]]&gt;patients!$N$2:$N$2,"Over average","Less than average")</f>
        <v>Less than average</v>
      </c>
    </row>
    <row r="147" spans="2:13" x14ac:dyDescent="0.25">
      <c r="B147" s="1" t="s">
        <v>301</v>
      </c>
      <c r="C147" s="1" t="s">
        <v>302</v>
      </c>
      <c r="D147">
        <v>43</v>
      </c>
      <c r="E147" s="2">
        <v>46017</v>
      </c>
      <c r="F147" s="2">
        <v>46028</v>
      </c>
      <c r="G147" s="1" t="s">
        <v>17</v>
      </c>
      <c r="H147">
        <v>62</v>
      </c>
      <c r="I147" s="19">
        <f>patients[[#This Row],[departure_date]]-patients[[#This Row],[arrival_date]]</f>
        <v>11</v>
      </c>
      <c r="J147" t="str">
        <f>IF(patients[[#This Row],[age]] &lt; 18,"0-17",IF(patients[[#This Row],[age]] &lt; 40,"18-39",IF(patients[[#This Row],[age]] &lt; 65,"40-64","65+")))</f>
        <v>40-64</v>
      </c>
      <c r="K147" s="1" t="str">
        <f>TEXT(patients[[#This Row],[arrival_date]],"[$-409]mmmm")</f>
        <v>December</v>
      </c>
      <c r="L147" s="1">
        <f>MATCH(K147, {"January";"February";"March";"April";"May";"June";"July";"August";"September";"October";"November";"December"}, 0)</f>
        <v>12</v>
      </c>
      <c r="M147" s="1" t="str" cm="1">
        <f t="array" ref="M147">IF(patients[[#This Row],[length_of_stay]]&gt;patients!$N$2:$N$2,"Over average","Less than average")</f>
        <v>Over average</v>
      </c>
    </row>
    <row r="148" spans="2:13" x14ac:dyDescent="0.25">
      <c r="B148" s="1" t="s">
        <v>303</v>
      </c>
      <c r="C148" s="1" t="s">
        <v>304</v>
      </c>
      <c r="D148">
        <v>5</v>
      </c>
      <c r="E148" s="2">
        <v>45919</v>
      </c>
      <c r="F148" s="2">
        <v>45928</v>
      </c>
      <c r="G148" s="1" t="s">
        <v>17</v>
      </c>
      <c r="H148">
        <v>98</v>
      </c>
      <c r="I148" s="19">
        <f>patients[[#This Row],[departure_date]]-patients[[#This Row],[arrival_date]]</f>
        <v>9</v>
      </c>
      <c r="J148" t="str">
        <f>IF(patients[[#This Row],[age]] &lt; 18,"0-17",IF(patients[[#This Row],[age]] &lt; 40,"18-39",IF(patients[[#This Row],[age]] &lt; 65,"40-64","65+")))</f>
        <v>0-17</v>
      </c>
      <c r="K148" s="1" t="str">
        <f>TEXT(patients[[#This Row],[arrival_date]],"[$-409]mmmm")</f>
        <v>September</v>
      </c>
      <c r="L148" s="1">
        <f>MATCH(K148, {"January";"February";"March";"April";"May";"June";"July";"August";"September";"October";"November";"December"}, 0)</f>
        <v>9</v>
      </c>
      <c r="M148" s="1" t="str" cm="1">
        <f t="array" ref="M148">IF(patients[[#This Row],[length_of_stay]]&gt;patients!$N$2:$N$2,"Over average","Less than average")</f>
        <v>Over average</v>
      </c>
    </row>
    <row r="149" spans="2:13" x14ac:dyDescent="0.25">
      <c r="B149" s="1" t="s">
        <v>305</v>
      </c>
      <c r="C149" s="1" t="s">
        <v>306</v>
      </c>
      <c r="D149">
        <v>31</v>
      </c>
      <c r="E149" s="2">
        <v>45861</v>
      </c>
      <c r="F149" s="2">
        <v>45869</v>
      </c>
      <c r="G149" s="1" t="s">
        <v>17</v>
      </c>
      <c r="H149">
        <v>67</v>
      </c>
      <c r="I149" s="19">
        <f>patients[[#This Row],[departure_date]]-patients[[#This Row],[arrival_date]]</f>
        <v>8</v>
      </c>
      <c r="J149" t="str">
        <f>IF(patients[[#This Row],[age]] &lt; 18,"0-17",IF(patients[[#This Row],[age]] &lt; 40,"18-39",IF(patients[[#This Row],[age]] &lt; 65,"40-64","65+")))</f>
        <v>18-39</v>
      </c>
      <c r="K149" s="1" t="str">
        <f>TEXT(patients[[#This Row],[arrival_date]],"[$-409]mmmm")</f>
        <v>July</v>
      </c>
      <c r="L149" s="1">
        <f>MATCH(K149, {"January";"February";"March";"April";"May";"June";"July";"August";"September";"October";"November";"December"}, 0)</f>
        <v>7</v>
      </c>
      <c r="M149" s="1" t="str" cm="1">
        <f t="array" ref="M149">IF(patients[[#This Row],[length_of_stay]]&gt;patients!$N$2:$N$2,"Over average","Less than average")</f>
        <v>Over average</v>
      </c>
    </row>
    <row r="150" spans="2:13" x14ac:dyDescent="0.25">
      <c r="B150" s="1" t="s">
        <v>307</v>
      </c>
      <c r="C150" s="1" t="s">
        <v>308</v>
      </c>
      <c r="D150">
        <v>49</v>
      </c>
      <c r="E150" s="2">
        <v>45975</v>
      </c>
      <c r="F150" s="2">
        <v>45979</v>
      </c>
      <c r="G150" s="1" t="s">
        <v>20</v>
      </c>
      <c r="H150">
        <v>66</v>
      </c>
      <c r="I150" s="19">
        <f>patients[[#This Row],[departure_date]]-patients[[#This Row],[arrival_date]]</f>
        <v>4</v>
      </c>
      <c r="J150" t="str">
        <f>IF(patients[[#This Row],[age]] &lt; 18,"0-17",IF(patients[[#This Row],[age]] &lt; 40,"18-39",IF(patients[[#This Row],[age]] &lt; 65,"40-64","65+")))</f>
        <v>40-64</v>
      </c>
      <c r="K150" s="1" t="str">
        <f>TEXT(patients[[#This Row],[arrival_date]],"[$-409]mmmm")</f>
        <v>November</v>
      </c>
      <c r="L150" s="1">
        <f>MATCH(K150, {"January";"February";"March";"April";"May";"June";"July";"August";"September";"October";"November";"December"}, 0)</f>
        <v>11</v>
      </c>
      <c r="M150" s="1" t="str" cm="1">
        <f t="array" ref="M150">IF(patients[[#This Row],[length_of_stay]]&gt;patients!$N$2:$N$2,"Over average","Less than average")</f>
        <v>Less than average</v>
      </c>
    </row>
    <row r="151" spans="2:13" x14ac:dyDescent="0.25">
      <c r="B151" s="1" t="s">
        <v>309</v>
      </c>
      <c r="C151" s="1" t="s">
        <v>310</v>
      </c>
      <c r="D151">
        <v>74</v>
      </c>
      <c r="E151" s="2">
        <v>45865</v>
      </c>
      <c r="F151" s="2">
        <v>45869</v>
      </c>
      <c r="G151" s="1" t="s">
        <v>20</v>
      </c>
      <c r="H151">
        <v>65</v>
      </c>
      <c r="I151" s="19">
        <f>patients[[#This Row],[departure_date]]-patients[[#This Row],[arrival_date]]</f>
        <v>4</v>
      </c>
      <c r="J151" t="str">
        <f>IF(patients[[#This Row],[age]] &lt; 18,"0-17",IF(patients[[#This Row],[age]] &lt; 40,"18-39",IF(patients[[#This Row],[age]] &lt; 65,"40-64","65+")))</f>
        <v>65+</v>
      </c>
      <c r="K151" s="1" t="str">
        <f>TEXT(patients[[#This Row],[arrival_date]],"[$-409]mmmm")</f>
        <v>July</v>
      </c>
      <c r="L151" s="1">
        <f>MATCH(K151, {"January";"February";"March";"April";"May";"June";"July";"August";"September";"October";"November";"December"}, 0)</f>
        <v>7</v>
      </c>
      <c r="M151" s="1" t="str" cm="1">
        <f t="array" ref="M151">IF(patients[[#This Row],[length_of_stay]]&gt;patients!$N$2:$N$2,"Over average","Less than average")</f>
        <v>Less than average</v>
      </c>
    </row>
    <row r="152" spans="2:13" x14ac:dyDescent="0.25">
      <c r="B152" s="1" t="s">
        <v>311</v>
      </c>
      <c r="C152" s="1" t="s">
        <v>312</v>
      </c>
      <c r="D152">
        <v>57</v>
      </c>
      <c r="E152" s="2">
        <v>45660</v>
      </c>
      <c r="F152" s="2">
        <v>45669</v>
      </c>
      <c r="G152" s="1" t="s">
        <v>9</v>
      </c>
      <c r="H152">
        <v>73</v>
      </c>
      <c r="I152" s="19">
        <f>patients[[#This Row],[departure_date]]-patients[[#This Row],[arrival_date]]</f>
        <v>9</v>
      </c>
      <c r="J152" t="str">
        <f>IF(patients[[#This Row],[age]] &lt; 18,"0-17",IF(patients[[#This Row],[age]] &lt; 40,"18-39",IF(patients[[#This Row],[age]] &lt; 65,"40-64","65+")))</f>
        <v>40-64</v>
      </c>
      <c r="K152" s="1" t="str">
        <f>TEXT(patients[[#This Row],[arrival_date]],"[$-409]mmmm")</f>
        <v>January</v>
      </c>
      <c r="L152" s="1">
        <f>MATCH(K152, {"January";"February";"March";"April";"May";"June";"July";"August";"September";"October";"November";"December"}, 0)</f>
        <v>1</v>
      </c>
      <c r="M152" s="1" t="str" cm="1">
        <f t="array" ref="M152">IF(patients[[#This Row],[length_of_stay]]&gt;patients!$N$2:$N$2,"Over average","Less than average")</f>
        <v>Over average</v>
      </c>
    </row>
    <row r="153" spans="2:13" x14ac:dyDescent="0.25">
      <c r="B153" s="1" t="s">
        <v>313</v>
      </c>
      <c r="C153" s="1" t="s">
        <v>314</v>
      </c>
      <c r="D153">
        <v>74</v>
      </c>
      <c r="E153" s="2">
        <v>45669</v>
      </c>
      <c r="F153" s="2">
        <v>45676</v>
      </c>
      <c r="G153" s="1" t="s">
        <v>9</v>
      </c>
      <c r="H153">
        <v>71</v>
      </c>
      <c r="I153" s="19">
        <f>patients[[#This Row],[departure_date]]-patients[[#This Row],[arrival_date]]</f>
        <v>7</v>
      </c>
      <c r="J153" t="str">
        <f>IF(patients[[#This Row],[age]] &lt; 18,"0-17",IF(patients[[#This Row],[age]] &lt; 40,"18-39",IF(patients[[#This Row],[age]] &lt; 65,"40-64","65+")))</f>
        <v>65+</v>
      </c>
      <c r="K153" s="1" t="str">
        <f>TEXT(patients[[#This Row],[arrival_date]],"[$-409]mmmm")</f>
        <v>January</v>
      </c>
      <c r="L153" s="1">
        <f>MATCH(K153, {"January";"February";"March";"April";"May";"June";"July";"August";"September";"October";"November";"December"}, 0)</f>
        <v>1</v>
      </c>
      <c r="M153" s="1" t="str" cm="1">
        <f t="array" ref="M153">IF(patients[[#This Row],[length_of_stay]]&gt;patients!$N$2:$N$2,"Over average","Less than average")</f>
        <v>Less than average</v>
      </c>
    </row>
    <row r="154" spans="2:13" x14ac:dyDescent="0.25">
      <c r="B154" s="1" t="s">
        <v>315</v>
      </c>
      <c r="C154" s="1" t="s">
        <v>316</v>
      </c>
      <c r="D154">
        <v>12</v>
      </c>
      <c r="E154" s="2">
        <v>45958</v>
      </c>
      <c r="F154" s="2">
        <v>45961</v>
      </c>
      <c r="G154" s="1" t="s">
        <v>17</v>
      </c>
      <c r="H154">
        <v>78</v>
      </c>
      <c r="I154" s="19">
        <f>patients[[#This Row],[departure_date]]-patients[[#This Row],[arrival_date]]</f>
        <v>3</v>
      </c>
      <c r="J154" t="str">
        <f>IF(patients[[#This Row],[age]] &lt; 18,"0-17",IF(patients[[#This Row],[age]] &lt; 40,"18-39",IF(patients[[#This Row],[age]] &lt; 65,"40-64","65+")))</f>
        <v>0-17</v>
      </c>
      <c r="K154" s="1" t="str">
        <f>TEXT(patients[[#This Row],[arrival_date]],"[$-409]mmmm")</f>
        <v>October</v>
      </c>
      <c r="L154" s="1">
        <f>MATCH(K154, {"January";"February";"March";"April";"May";"June";"July";"August";"September";"October";"November";"December"}, 0)</f>
        <v>10</v>
      </c>
      <c r="M154" s="1" t="str" cm="1">
        <f t="array" ref="M154">IF(patients[[#This Row],[length_of_stay]]&gt;patients!$N$2:$N$2,"Over average","Less than average")</f>
        <v>Less than average</v>
      </c>
    </row>
    <row r="155" spans="2:13" x14ac:dyDescent="0.25">
      <c r="B155" s="1" t="s">
        <v>317</v>
      </c>
      <c r="C155" s="1" t="s">
        <v>318</v>
      </c>
      <c r="D155">
        <v>54</v>
      </c>
      <c r="E155" s="2">
        <v>46013</v>
      </c>
      <c r="F155" s="2">
        <v>46026</v>
      </c>
      <c r="G155" s="1" t="s">
        <v>9</v>
      </c>
      <c r="H155">
        <v>67</v>
      </c>
      <c r="I155" s="19">
        <f>patients[[#This Row],[departure_date]]-patients[[#This Row],[arrival_date]]</f>
        <v>13</v>
      </c>
      <c r="J155" t="str">
        <f>IF(patients[[#This Row],[age]] &lt; 18,"0-17",IF(patients[[#This Row],[age]] &lt; 40,"18-39",IF(patients[[#This Row],[age]] &lt; 65,"40-64","65+")))</f>
        <v>40-64</v>
      </c>
      <c r="K155" s="1" t="str">
        <f>TEXT(patients[[#This Row],[arrival_date]],"[$-409]mmmm")</f>
        <v>December</v>
      </c>
      <c r="L155" s="1">
        <f>MATCH(K155, {"January";"February";"March";"April";"May";"June";"July";"August";"September";"October";"November";"December"}, 0)</f>
        <v>12</v>
      </c>
      <c r="M155" s="1" t="str" cm="1">
        <f t="array" ref="M155">IF(patients[[#This Row],[length_of_stay]]&gt;patients!$N$2:$N$2,"Over average","Less than average")</f>
        <v>Over average</v>
      </c>
    </row>
    <row r="156" spans="2:13" x14ac:dyDescent="0.25">
      <c r="B156" s="1" t="s">
        <v>319</v>
      </c>
      <c r="C156" s="1" t="s">
        <v>320</v>
      </c>
      <c r="D156">
        <v>52</v>
      </c>
      <c r="E156" s="2">
        <v>45945</v>
      </c>
      <c r="F156" s="2">
        <v>45948</v>
      </c>
      <c r="G156" s="1" t="s">
        <v>14</v>
      </c>
      <c r="H156">
        <v>77</v>
      </c>
      <c r="I156" s="19">
        <f>patients[[#This Row],[departure_date]]-patients[[#This Row],[arrival_date]]</f>
        <v>3</v>
      </c>
      <c r="J156" t="str">
        <f>IF(patients[[#This Row],[age]] &lt; 18,"0-17",IF(patients[[#This Row],[age]] &lt; 40,"18-39",IF(patients[[#This Row],[age]] &lt; 65,"40-64","65+")))</f>
        <v>40-64</v>
      </c>
      <c r="K156" s="1" t="str">
        <f>TEXT(patients[[#This Row],[arrival_date]],"[$-409]mmmm")</f>
        <v>October</v>
      </c>
      <c r="L156" s="1">
        <f>MATCH(K156, {"January";"February";"March";"April";"May";"June";"July";"August";"September";"October";"November";"December"}, 0)</f>
        <v>10</v>
      </c>
      <c r="M156" s="1" t="str" cm="1">
        <f t="array" ref="M156">IF(patients[[#This Row],[length_of_stay]]&gt;patients!$N$2:$N$2,"Over average","Less than average")</f>
        <v>Less than average</v>
      </c>
    </row>
    <row r="157" spans="2:13" x14ac:dyDescent="0.25">
      <c r="B157" s="1" t="s">
        <v>321</v>
      </c>
      <c r="C157" s="1" t="s">
        <v>322</v>
      </c>
      <c r="D157">
        <v>69</v>
      </c>
      <c r="E157" s="2">
        <v>45868</v>
      </c>
      <c r="F157" s="2">
        <v>45874</v>
      </c>
      <c r="G157" s="1" t="s">
        <v>9</v>
      </c>
      <c r="H157">
        <v>96</v>
      </c>
      <c r="I157" s="19">
        <f>patients[[#This Row],[departure_date]]-patients[[#This Row],[arrival_date]]</f>
        <v>6</v>
      </c>
      <c r="J157" t="str">
        <f>IF(patients[[#This Row],[age]] &lt; 18,"0-17",IF(patients[[#This Row],[age]] &lt; 40,"18-39",IF(patients[[#This Row],[age]] &lt; 65,"40-64","65+")))</f>
        <v>65+</v>
      </c>
      <c r="K157" s="1" t="str">
        <f>TEXT(patients[[#This Row],[arrival_date]],"[$-409]mmmm")</f>
        <v>July</v>
      </c>
      <c r="L157" s="1">
        <f>MATCH(K157, {"January";"February";"March";"April";"May";"June";"July";"August";"September";"October";"November";"December"}, 0)</f>
        <v>7</v>
      </c>
      <c r="M157" s="1" t="str" cm="1">
        <f t="array" ref="M157">IF(patients[[#This Row],[length_of_stay]]&gt;patients!$N$2:$N$2,"Over average","Less than average")</f>
        <v>Less than average</v>
      </c>
    </row>
    <row r="158" spans="2:13" x14ac:dyDescent="0.25">
      <c r="B158" s="1" t="s">
        <v>323</v>
      </c>
      <c r="C158" s="1" t="s">
        <v>324</v>
      </c>
      <c r="D158">
        <v>55</v>
      </c>
      <c r="E158" s="2">
        <v>45716</v>
      </c>
      <c r="F158" s="2">
        <v>45719</v>
      </c>
      <c r="G158" s="1" t="s">
        <v>17</v>
      </c>
      <c r="H158">
        <v>87</v>
      </c>
      <c r="I158" s="19">
        <f>patients[[#This Row],[departure_date]]-patients[[#This Row],[arrival_date]]</f>
        <v>3</v>
      </c>
      <c r="J158" t="str">
        <f>IF(patients[[#This Row],[age]] &lt; 18,"0-17",IF(patients[[#This Row],[age]] &lt; 40,"18-39",IF(patients[[#This Row],[age]] &lt; 65,"40-64","65+")))</f>
        <v>40-64</v>
      </c>
      <c r="K158" s="1" t="str">
        <f>TEXT(patients[[#This Row],[arrival_date]],"[$-409]mmmm")</f>
        <v>February</v>
      </c>
      <c r="L158" s="1">
        <f>MATCH(K158, {"January";"February";"March";"April";"May";"June";"July";"August";"September";"October";"November";"December"}, 0)</f>
        <v>2</v>
      </c>
      <c r="M158" s="1" t="str" cm="1">
        <f t="array" ref="M158">IF(patients[[#This Row],[length_of_stay]]&gt;patients!$N$2:$N$2,"Over average","Less than average")</f>
        <v>Less than average</v>
      </c>
    </row>
    <row r="159" spans="2:13" x14ac:dyDescent="0.25">
      <c r="B159" s="1" t="s">
        <v>325</v>
      </c>
      <c r="C159" s="1" t="s">
        <v>326</v>
      </c>
      <c r="D159">
        <v>73</v>
      </c>
      <c r="E159" s="2">
        <v>45692</v>
      </c>
      <c r="F159" s="2">
        <v>45705</v>
      </c>
      <c r="G159" s="1" t="s">
        <v>14</v>
      </c>
      <c r="H159">
        <v>88</v>
      </c>
      <c r="I159" s="19">
        <f>patients[[#This Row],[departure_date]]-patients[[#This Row],[arrival_date]]</f>
        <v>13</v>
      </c>
      <c r="J159" t="str">
        <f>IF(patients[[#This Row],[age]] &lt; 18,"0-17",IF(patients[[#This Row],[age]] &lt; 40,"18-39",IF(patients[[#This Row],[age]] &lt; 65,"40-64","65+")))</f>
        <v>65+</v>
      </c>
      <c r="K159" s="1" t="str">
        <f>TEXT(patients[[#This Row],[arrival_date]],"[$-409]mmmm")</f>
        <v>February</v>
      </c>
      <c r="L159" s="1">
        <f>MATCH(K159, {"January";"February";"March";"April";"May";"June";"July";"August";"September";"October";"November";"December"}, 0)</f>
        <v>2</v>
      </c>
      <c r="M159" s="1" t="str" cm="1">
        <f t="array" ref="M159">IF(patients[[#This Row],[length_of_stay]]&gt;patients!$N$2:$N$2,"Over average","Less than average")</f>
        <v>Over average</v>
      </c>
    </row>
    <row r="160" spans="2:13" x14ac:dyDescent="0.25">
      <c r="B160" s="1" t="s">
        <v>327</v>
      </c>
      <c r="C160" s="1" t="s">
        <v>328</v>
      </c>
      <c r="D160">
        <v>53</v>
      </c>
      <c r="E160" s="2">
        <v>45864</v>
      </c>
      <c r="F160" s="2">
        <v>45865</v>
      </c>
      <c r="G160" s="1" t="s">
        <v>14</v>
      </c>
      <c r="H160">
        <v>66</v>
      </c>
      <c r="I160" s="19">
        <f>patients[[#This Row],[departure_date]]-patients[[#This Row],[arrival_date]]</f>
        <v>1</v>
      </c>
      <c r="J160" t="str">
        <f>IF(patients[[#This Row],[age]] &lt; 18,"0-17",IF(patients[[#This Row],[age]] &lt; 40,"18-39",IF(patients[[#This Row],[age]] &lt; 65,"40-64","65+")))</f>
        <v>40-64</v>
      </c>
      <c r="K160" s="1" t="str">
        <f>TEXT(patients[[#This Row],[arrival_date]],"[$-409]mmmm")</f>
        <v>July</v>
      </c>
      <c r="L160" s="1">
        <f>MATCH(K160, {"January";"February";"March";"April";"May";"June";"July";"August";"September";"October";"November";"December"}, 0)</f>
        <v>7</v>
      </c>
      <c r="M160" s="1" t="str" cm="1">
        <f t="array" ref="M160">IF(patients[[#This Row],[length_of_stay]]&gt;patients!$N$2:$N$2,"Over average","Less than average")</f>
        <v>Less than average</v>
      </c>
    </row>
    <row r="161" spans="2:13" x14ac:dyDescent="0.25">
      <c r="B161" s="1" t="s">
        <v>329</v>
      </c>
      <c r="C161" s="1" t="s">
        <v>330</v>
      </c>
      <c r="D161">
        <v>75</v>
      </c>
      <c r="E161" s="2">
        <v>46007</v>
      </c>
      <c r="F161" s="2">
        <v>46012</v>
      </c>
      <c r="G161" s="1" t="s">
        <v>17</v>
      </c>
      <c r="H161">
        <v>90</v>
      </c>
      <c r="I161" s="19">
        <f>patients[[#This Row],[departure_date]]-patients[[#This Row],[arrival_date]]</f>
        <v>5</v>
      </c>
      <c r="J161" t="str">
        <f>IF(patients[[#This Row],[age]] &lt; 18,"0-17",IF(patients[[#This Row],[age]] &lt; 40,"18-39",IF(patients[[#This Row],[age]] &lt; 65,"40-64","65+")))</f>
        <v>65+</v>
      </c>
      <c r="K161" s="1" t="str">
        <f>TEXT(patients[[#This Row],[arrival_date]],"[$-409]mmmm")</f>
        <v>December</v>
      </c>
      <c r="L161" s="1">
        <f>MATCH(K161, {"January";"February";"March";"April";"May";"June";"July";"August";"September";"October";"November";"December"}, 0)</f>
        <v>12</v>
      </c>
      <c r="M161" s="1" t="str" cm="1">
        <f t="array" ref="M161">IF(patients[[#This Row],[length_of_stay]]&gt;patients!$N$2:$N$2,"Over average","Less than average")</f>
        <v>Less than average</v>
      </c>
    </row>
    <row r="162" spans="2:13" x14ac:dyDescent="0.25">
      <c r="B162" s="1" t="s">
        <v>331</v>
      </c>
      <c r="C162" s="1" t="s">
        <v>332</v>
      </c>
      <c r="D162">
        <v>57</v>
      </c>
      <c r="E162" s="2">
        <v>45681</v>
      </c>
      <c r="F162" s="2">
        <v>45685</v>
      </c>
      <c r="G162" s="1" t="s">
        <v>17</v>
      </c>
      <c r="H162">
        <v>96</v>
      </c>
      <c r="I162" s="19">
        <f>patients[[#This Row],[departure_date]]-patients[[#This Row],[arrival_date]]</f>
        <v>4</v>
      </c>
      <c r="J162" t="str">
        <f>IF(patients[[#This Row],[age]] &lt; 18,"0-17",IF(patients[[#This Row],[age]] &lt; 40,"18-39",IF(patients[[#This Row],[age]] &lt; 65,"40-64","65+")))</f>
        <v>40-64</v>
      </c>
      <c r="K162" s="1" t="str">
        <f>TEXT(patients[[#This Row],[arrival_date]],"[$-409]mmmm")</f>
        <v>January</v>
      </c>
      <c r="L162" s="1">
        <f>MATCH(K162, {"January";"February";"March";"April";"May";"June";"July";"August";"September";"October";"November";"December"}, 0)</f>
        <v>1</v>
      </c>
      <c r="M162" s="1" t="str" cm="1">
        <f t="array" ref="M162">IF(patients[[#This Row],[length_of_stay]]&gt;patients!$N$2:$N$2,"Over average","Less than average")</f>
        <v>Less than average</v>
      </c>
    </row>
    <row r="163" spans="2:13" x14ac:dyDescent="0.25">
      <c r="B163" s="1" t="s">
        <v>333</v>
      </c>
      <c r="C163" s="1" t="s">
        <v>334</v>
      </c>
      <c r="D163">
        <v>3</v>
      </c>
      <c r="E163" s="2">
        <v>46021</v>
      </c>
      <c r="F163" s="2">
        <v>46035</v>
      </c>
      <c r="G163" s="1" t="s">
        <v>20</v>
      </c>
      <c r="H163">
        <v>79</v>
      </c>
      <c r="I163" s="19">
        <f>patients[[#This Row],[departure_date]]-patients[[#This Row],[arrival_date]]</f>
        <v>14</v>
      </c>
      <c r="J163" t="str">
        <f>IF(patients[[#This Row],[age]] &lt; 18,"0-17",IF(patients[[#This Row],[age]] &lt; 40,"18-39",IF(patients[[#This Row],[age]] &lt; 65,"40-64","65+")))</f>
        <v>0-17</v>
      </c>
      <c r="K163" s="1" t="str">
        <f>TEXT(patients[[#This Row],[arrival_date]],"[$-409]mmmm")</f>
        <v>December</v>
      </c>
      <c r="L163" s="1">
        <f>MATCH(K163, {"January";"February";"March";"April";"May";"June";"July";"August";"September";"October";"November";"December"}, 0)</f>
        <v>12</v>
      </c>
      <c r="M163" s="1" t="str" cm="1">
        <f t="array" ref="M163">IF(patients[[#This Row],[length_of_stay]]&gt;patients!$N$2:$N$2,"Over average","Less than average")</f>
        <v>Over average</v>
      </c>
    </row>
    <row r="164" spans="2:13" x14ac:dyDescent="0.25">
      <c r="B164" s="1" t="s">
        <v>335</v>
      </c>
      <c r="C164" s="1" t="s">
        <v>336</v>
      </c>
      <c r="D164">
        <v>59</v>
      </c>
      <c r="E164" s="2">
        <v>45707</v>
      </c>
      <c r="F164" s="2">
        <v>45708</v>
      </c>
      <c r="G164" s="1" t="s">
        <v>20</v>
      </c>
      <c r="H164">
        <v>91</v>
      </c>
      <c r="I164" s="19">
        <f>patients[[#This Row],[departure_date]]-patients[[#This Row],[arrival_date]]</f>
        <v>1</v>
      </c>
      <c r="J164" t="str">
        <f>IF(patients[[#This Row],[age]] &lt; 18,"0-17",IF(patients[[#This Row],[age]] &lt; 40,"18-39",IF(patients[[#This Row],[age]] &lt; 65,"40-64","65+")))</f>
        <v>40-64</v>
      </c>
      <c r="K164" s="1" t="str">
        <f>TEXT(patients[[#This Row],[arrival_date]],"[$-409]mmmm")</f>
        <v>February</v>
      </c>
      <c r="L164" s="1">
        <f>MATCH(K164, {"January";"February";"March";"April";"May";"June";"July";"August";"September";"October";"November";"December"}, 0)</f>
        <v>2</v>
      </c>
      <c r="M164" s="1" t="str" cm="1">
        <f t="array" ref="M164">IF(patients[[#This Row],[length_of_stay]]&gt;patients!$N$2:$N$2,"Over average","Less than average")</f>
        <v>Less than average</v>
      </c>
    </row>
    <row r="165" spans="2:13" x14ac:dyDescent="0.25">
      <c r="B165" s="1" t="s">
        <v>337</v>
      </c>
      <c r="C165" s="1" t="s">
        <v>338</v>
      </c>
      <c r="D165">
        <v>35</v>
      </c>
      <c r="E165" s="2">
        <v>45774</v>
      </c>
      <c r="F165" s="2">
        <v>45776</v>
      </c>
      <c r="G165" s="1" t="s">
        <v>9</v>
      </c>
      <c r="H165">
        <v>95</v>
      </c>
      <c r="I165" s="19">
        <f>patients[[#This Row],[departure_date]]-patients[[#This Row],[arrival_date]]</f>
        <v>2</v>
      </c>
      <c r="J165" t="str">
        <f>IF(patients[[#This Row],[age]] &lt; 18,"0-17",IF(patients[[#This Row],[age]] &lt; 40,"18-39",IF(patients[[#This Row],[age]] &lt; 65,"40-64","65+")))</f>
        <v>18-39</v>
      </c>
      <c r="K165" s="1" t="str">
        <f>TEXT(patients[[#This Row],[arrival_date]],"[$-409]mmmm")</f>
        <v>April</v>
      </c>
      <c r="L165" s="1">
        <f>MATCH(K165, {"January";"February";"March";"April";"May";"June";"July";"August";"September";"October";"November";"December"}, 0)</f>
        <v>4</v>
      </c>
      <c r="M165" s="1" t="str" cm="1">
        <f t="array" ref="M165">IF(patients[[#This Row],[length_of_stay]]&gt;patients!$N$2:$N$2,"Over average","Less than average")</f>
        <v>Less than average</v>
      </c>
    </row>
    <row r="166" spans="2:13" x14ac:dyDescent="0.25">
      <c r="B166" s="1" t="s">
        <v>339</v>
      </c>
      <c r="C166" s="1" t="s">
        <v>340</v>
      </c>
      <c r="D166">
        <v>65</v>
      </c>
      <c r="E166" s="2">
        <v>45919</v>
      </c>
      <c r="F166" s="2">
        <v>45926</v>
      </c>
      <c r="G166" s="1" t="s">
        <v>14</v>
      </c>
      <c r="H166">
        <v>71</v>
      </c>
      <c r="I166" s="19">
        <f>patients[[#This Row],[departure_date]]-patients[[#This Row],[arrival_date]]</f>
        <v>7</v>
      </c>
      <c r="J166" t="str">
        <f>IF(patients[[#This Row],[age]] &lt; 18,"0-17",IF(patients[[#This Row],[age]] &lt; 40,"18-39",IF(patients[[#This Row],[age]] &lt; 65,"40-64","65+")))</f>
        <v>65+</v>
      </c>
      <c r="K166" s="1" t="str">
        <f>TEXT(patients[[#This Row],[arrival_date]],"[$-409]mmmm")</f>
        <v>September</v>
      </c>
      <c r="L166" s="1">
        <f>MATCH(K166, {"January";"February";"March";"April";"May";"June";"July";"August";"September";"October";"November";"December"}, 0)</f>
        <v>9</v>
      </c>
      <c r="M166" s="1" t="str" cm="1">
        <f t="array" ref="M166">IF(patients[[#This Row],[length_of_stay]]&gt;patients!$N$2:$N$2,"Over average","Less than average")</f>
        <v>Less than average</v>
      </c>
    </row>
    <row r="167" spans="2:13" x14ac:dyDescent="0.25">
      <c r="B167" s="1" t="s">
        <v>341</v>
      </c>
      <c r="C167" s="1" t="s">
        <v>240</v>
      </c>
      <c r="D167">
        <v>2</v>
      </c>
      <c r="E167" s="2">
        <v>45675</v>
      </c>
      <c r="F167" s="2">
        <v>45683</v>
      </c>
      <c r="G167" s="1" t="s">
        <v>17</v>
      </c>
      <c r="H167">
        <v>80</v>
      </c>
      <c r="I167" s="19">
        <f>patients[[#This Row],[departure_date]]-patients[[#This Row],[arrival_date]]</f>
        <v>8</v>
      </c>
      <c r="J167" t="str">
        <f>IF(patients[[#This Row],[age]] &lt; 18,"0-17",IF(patients[[#This Row],[age]] &lt; 40,"18-39",IF(patients[[#This Row],[age]] &lt; 65,"40-64","65+")))</f>
        <v>0-17</v>
      </c>
      <c r="K167" s="1" t="str">
        <f>TEXT(patients[[#This Row],[arrival_date]],"[$-409]mmmm")</f>
        <v>January</v>
      </c>
      <c r="L167" s="1">
        <f>MATCH(K167, {"January";"February";"March";"April";"May";"June";"July";"August";"September";"October";"November";"December"}, 0)</f>
        <v>1</v>
      </c>
      <c r="M167" s="1" t="str" cm="1">
        <f t="array" ref="M167">IF(patients[[#This Row],[length_of_stay]]&gt;patients!$N$2:$N$2,"Over average","Less than average")</f>
        <v>Over average</v>
      </c>
    </row>
    <row r="168" spans="2:13" x14ac:dyDescent="0.25">
      <c r="B168" s="1" t="s">
        <v>342</v>
      </c>
      <c r="C168" s="1" t="s">
        <v>343</v>
      </c>
      <c r="D168">
        <v>14</v>
      </c>
      <c r="E168" s="2">
        <v>46012</v>
      </c>
      <c r="F168" s="2">
        <v>46022</v>
      </c>
      <c r="G168" s="1" t="s">
        <v>17</v>
      </c>
      <c r="H168">
        <v>67</v>
      </c>
      <c r="I168" s="19">
        <f>patients[[#This Row],[departure_date]]-patients[[#This Row],[arrival_date]]</f>
        <v>10</v>
      </c>
      <c r="J168" t="str">
        <f>IF(patients[[#This Row],[age]] &lt; 18,"0-17",IF(patients[[#This Row],[age]] &lt; 40,"18-39",IF(patients[[#This Row],[age]] &lt; 65,"40-64","65+")))</f>
        <v>0-17</v>
      </c>
      <c r="K168" s="1" t="str">
        <f>TEXT(patients[[#This Row],[arrival_date]],"[$-409]mmmm")</f>
        <v>December</v>
      </c>
      <c r="L168" s="1">
        <f>MATCH(K168, {"January";"February";"March";"April";"May";"June";"July";"August";"September";"October";"November";"December"}, 0)</f>
        <v>12</v>
      </c>
      <c r="M168" s="1" t="str" cm="1">
        <f t="array" ref="M168">IF(patients[[#This Row],[length_of_stay]]&gt;patients!$N$2:$N$2,"Over average","Less than average")</f>
        <v>Over average</v>
      </c>
    </row>
    <row r="169" spans="2:13" x14ac:dyDescent="0.25">
      <c r="B169" s="1" t="s">
        <v>344</v>
      </c>
      <c r="C169" s="1" t="s">
        <v>345</v>
      </c>
      <c r="D169">
        <v>86</v>
      </c>
      <c r="E169" s="2">
        <v>45671</v>
      </c>
      <c r="F169" s="2">
        <v>45685</v>
      </c>
      <c r="G169" s="1" t="s">
        <v>9</v>
      </c>
      <c r="H169">
        <v>61</v>
      </c>
      <c r="I169" s="19">
        <f>patients[[#This Row],[departure_date]]-patients[[#This Row],[arrival_date]]</f>
        <v>14</v>
      </c>
      <c r="J169" t="str">
        <f>IF(patients[[#This Row],[age]] &lt; 18,"0-17",IF(patients[[#This Row],[age]] &lt; 40,"18-39",IF(patients[[#This Row],[age]] &lt; 65,"40-64","65+")))</f>
        <v>65+</v>
      </c>
      <c r="K169" s="1" t="str">
        <f>TEXT(patients[[#This Row],[arrival_date]],"[$-409]mmmm")</f>
        <v>January</v>
      </c>
      <c r="L169" s="1">
        <f>MATCH(K169, {"January";"February";"March";"April";"May";"June";"July";"August";"September";"October";"November";"December"}, 0)</f>
        <v>1</v>
      </c>
      <c r="M169" s="1" t="str" cm="1">
        <f t="array" ref="M169">IF(patients[[#This Row],[length_of_stay]]&gt;patients!$N$2:$N$2,"Over average","Less than average")</f>
        <v>Over average</v>
      </c>
    </row>
    <row r="170" spans="2:13" x14ac:dyDescent="0.25">
      <c r="B170" s="1" t="s">
        <v>346</v>
      </c>
      <c r="C170" s="1" t="s">
        <v>347</v>
      </c>
      <c r="D170">
        <v>36</v>
      </c>
      <c r="E170" s="2">
        <v>45698</v>
      </c>
      <c r="F170" s="2">
        <v>45712</v>
      </c>
      <c r="G170" s="1" t="s">
        <v>17</v>
      </c>
      <c r="H170">
        <v>73</v>
      </c>
      <c r="I170" s="19">
        <f>patients[[#This Row],[departure_date]]-patients[[#This Row],[arrival_date]]</f>
        <v>14</v>
      </c>
      <c r="J170" t="str">
        <f>IF(patients[[#This Row],[age]] &lt; 18,"0-17",IF(patients[[#This Row],[age]] &lt; 40,"18-39",IF(patients[[#This Row],[age]] &lt; 65,"40-64","65+")))</f>
        <v>18-39</v>
      </c>
      <c r="K170" s="1" t="str">
        <f>TEXT(patients[[#This Row],[arrival_date]],"[$-409]mmmm")</f>
        <v>February</v>
      </c>
      <c r="L170" s="1">
        <f>MATCH(K170, {"January";"February";"March";"April";"May";"June";"July";"August";"September";"October";"November";"December"}, 0)</f>
        <v>2</v>
      </c>
      <c r="M170" s="1" t="str" cm="1">
        <f t="array" ref="M170">IF(patients[[#This Row],[length_of_stay]]&gt;patients!$N$2:$N$2,"Over average","Less than average")</f>
        <v>Over average</v>
      </c>
    </row>
    <row r="171" spans="2:13" x14ac:dyDescent="0.25">
      <c r="B171" s="1" t="s">
        <v>348</v>
      </c>
      <c r="C171" s="1" t="s">
        <v>349</v>
      </c>
      <c r="D171">
        <v>88</v>
      </c>
      <c r="E171" s="2">
        <v>45787</v>
      </c>
      <c r="F171" s="2">
        <v>45794</v>
      </c>
      <c r="G171" s="1" t="s">
        <v>20</v>
      </c>
      <c r="H171">
        <v>65</v>
      </c>
      <c r="I171" s="19">
        <f>patients[[#This Row],[departure_date]]-patients[[#This Row],[arrival_date]]</f>
        <v>7</v>
      </c>
      <c r="J171" t="str">
        <f>IF(patients[[#This Row],[age]] &lt; 18,"0-17",IF(patients[[#This Row],[age]] &lt; 40,"18-39",IF(patients[[#This Row],[age]] &lt; 65,"40-64","65+")))</f>
        <v>65+</v>
      </c>
      <c r="K171" s="1" t="str">
        <f>TEXT(patients[[#This Row],[arrival_date]],"[$-409]mmmm")</f>
        <v>May</v>
      </c>
      <c r="L171" s="1">
        <f>MATCH(K171, {"January";"February";"March";"April";"May";"June";"July";"August";"September";"October";"November";"December"}, 0)</f>
        <v>5</v>
      </c>
      <c r="M171" s="1" t="str" cm="1">
        <f t="array" ref="M171">IF(patients[[#This Row],[length_of_stay]]&gt;patients!$N$2:$N$2,"Over average","Less than average")</f>
        <v>Less than average</v>
      </c>
    </row>
    <row r="172" spans="2:13" x14ac:dyDescent="0.25">
      <c r="B172" s="1" t="s">
        <v>350</v>
      </c>
      <c r="C172" s="1" t="s">
        <v>351</v>
      </c>
      <c r="D172">
        <v>16</v>
      </c>
      <c r="E172" s="2">
        <v>46002</v>
      </c>
      <c r="F172" s="2">
        <v>46011</v>
      </c>
      <c r="G172" s="1" t="s">
        <v>14</v>
      </c>
      <c r="H172">
        <v>87</v>
      </c>
      <c r="I172" s="19">
        <f>patients[[#This Row],[departure_date]]-patients[[#This Row],[arrival_date]]</f>
        <v>9</v>
      </c>
      <c r="J172" t="str">
        <f>IF(patients[[#This Row],[age]] &lt; 18,"0-17",IF(patients[[#This Row],[age]] &lt; 40,"18-39",IF(patients[[#This Row],[age]] &lt; 65,"40-64","65+")))</f>
        <v>0-17</v>
      </c>
      <c r="K172" s="1" t="str">
        <f>TEXT(patients[[#This Row],[arrival_date]],"[$-409]mmmm")</f>
        <v>December</v>
      </c>
      <c r="L172" s="1">
        <f>MATCH(K172, {"January";"February";"March";"April";"May";"June";"July";"August";"September";"October";"November";"December"}, 0)</f>
        <v>12</v>
      </c>
      <c r="M172" s="1" t="str" cm="1">
        <f t="array" ref="M172">IF(patients[[#This Row],[length_of_stay]]&gt;patients!$N$2:$N$2,"Over average","Less than average")</f>
        <v>Over average</v>
      </c>
    </row>
    <row r="173" spans="2:13" x14ac:dyDescent="0.25">
      <c r="B173" s="1" t="s">
        <v>352</v>
      </c>
      <c r="C173" s="1" t="s">
        <v>353</v>
      </c>
      <c r="D173">
        <v>65</v>
      </c>
      <c r="E173" s="2">
        <v>45886</v>
      </c>
      <c r="F173" s="2">
        <v>45891</v>
      </c>
      <c r="G173" s="1" t="s">
        <v>14</v>
      </c>
      <c r="H173">
        <v>60</v>
      </c>
      <c r="I173" s="19">
        <f>patients[[#This Row],[departure_date]]-patients[[#This Row],[arrival_date]]</f>
        <v>5</v>
      </c>
      <c r="J173" t="str">
        <f>IF(patients[[#This Row],[age]] &lt; 18,"0-17",IF(patients[[#This Row],[age]] &lt; 40,"18-39",IF(patients[[#This Row],[age]] &lt; 65,"40-64","65+")))</f>
        <v>65+</v>
      </c>
      <c r="K173" s="1" t="str">
        <f>TEXT(patients[[#This Row],[arrival_date]],"[$-409]mmmm")</f>
        <v>August</v>
      </c>
      <c r="L173" s="1">
        <f>MATCH(K173, {"January";"February";"March";"April";"May";"June";"July";"August";"September";"October";"November";"December"}, 0)</f>
        <v>8</v>
      </c>
      <c r="M173" s="1" t="str" cm="1">
        <f t="array" ref="M173">IF(patients[[#This Row],[length_of_stay]]&gt;patients!$N$2:$N$2,"Over average","Less than average")</f>
        <v>Less than average</v>
      </c>
    </row>
    <row r="174" spans="2:13" x14ac:dyDescent="0.25">
      <c r="B174" s="1" t="s">
        <v>354</v>
      </c>
      <c r="C174" s="1" t="s">
        <v>355</v>
      </c>
      <c r="D174">
        <v>39</v>
      </c>
      <c r="E174" s="2">
        <v>45821</v>
      </c>
      <c r="F174" s="2">
        <v>45834</v>
      </c>
      <c r="G174" s="1" t="s">
        <v>20</v>
      </c>
      <c r="H174">
        <v>82</v>
      </c>
      <c r="I174" s="19">
        <f>patients[[#This Row],[departure_date]]-patients[[#This Row],[arrival_date]]</f>
        <v>13</v>
      </c>
      <c r="J174" t="str">
        <f>IF(patients[[#This Row],[age]] &lt; 18,"0-17",IF(patients[[#This Row],[age]] &lt; 40,"18-39",IF(patients[[#This Row],[age]] &lt; 65,"40-64","65+")))</f>
        <v>18-39</v>
      </c>
      <c r="K174" s="1" t="str">
        <f>TEXT(patients[[#This Row],[arrival_date]],"[$-409]mmmm")</f>
        <v>June</v>
      </c>
      <c r="L174" s="1">
        <f>MATCH(K174, {"January";"February";"March";"April";"May";"June";"July";"August";"September";"October";"November";"December"}, 0)</f>
        <v>6</v>
      </c>
      <c r="M174" s="1" t="str" cm="1">
        <f t="array" ref="M174">IF(patients[[#This Row],[length_of_stay]]&gt;patients!$N$2:$N$2,"Over average","Less than average")</f>
        <v>Over average</v>
      </c>
    </row>
    <row r="175" spans="2:13" x14ac:dyDescent="0.25">
      <c r="B175" s="1" t="s">
        <v>356</v>
      </c>
      <c r="C175" s="1" t="s">
        <v>357</v>
      </c>
      <c r="D175">
        <v>46</v>
      </c>
      <c r="E175" s="2">
        <v>45667</v>
      </c>
      <c r="F175" s="2">
        <v>45670</v>
      </c>
      <c r="G175" s="1" t="s">
        <v>14</v>
      </c>
      <c r="H175">
        <v>73</v>
      </c>
      <c r="I175" s="19">
        <f>patients[[#This Row],[departure_date]]-patients[[#This Row],[arrival_date]]</f>
        <v>3</v>
      </c>
      <c r="J175" t="str">
        <f>IF(patients[[#This Row],[age]] &lt; 18,"0-17",IF(patients[[#This Row],[age]] &lt; 40,"18-39",IF(patients[[#This Row],[age]] &lt; 65,"40-64","65+")))</f>
        <v>40-64</v>
      </c>
      <c r="K175" s="1" t="str">
        <f>TEXT(patients[[#This Row],[arrival_date]],"[$-409]mmmm")</f>
        <v>January</v>
      </c>
      <c r="L175" s="1">
        <f>MATCH(K175, {"January";"February";"March";"April";"May";"June";"July";"August";"September";"October";"November";"December"}, 0)</f>
        <v>1</v>
      </c>
      <c r="M175" s="1" t="str" cm="1">
        <f t="array" ref="M175">IF(patients[[#This Row],[length_of_stay]]&gt;patients!$N$2:$N$2,"Over average","Less than average")</f>
        <v>Less than average</v>
      </c>
    </row>
    <row r="176" spans="2:13" x14ac:dyDescent="0.25">
      <c r="B176" s="1" t="s">
        <v>358</v>
      </c>
      <c r="C176" s="1" t="s">
        <v>359</v>
      </c>
      <c r="D176">
        <v>79</v>
      </c>
      <c r="E176" s="2">
        <v>45750</v>
      </c>
      <c r="F176" s="2">
        <v>45760</v>
      </c>
      <c r="G176" s="1" t="s">
        <v>9</v>
      </c>
      <c r="H176">
        <v>71</v>
      </c>
      <c r="I176" s="19">
        <f>patients[[#This Row],[departure_date]]-patients[[#This Row],[arrival_date]]</f>
        <v>10</v>
      </c>
      <c r="J176" t="str">
        <f>IF(patients[[#This Row],[age]] &lt; 18,"0-17",IF(patients[[#This Row],[age]] &lt; 40,"18-39",IF(patients[[#This Row],[age]] &lt; 65,"40-64","65+")))</f>
        <v>65+</v>
      </c>
      <c r="K176" s="1" t="str">
        <f>TEXT(patients[[#This Row],[arrival_date]],"[$-409]mmmm")</f>
        <v>April</v>
      </c>
      <c r="L176" s="1">
        <f>MATCH(K176, {"January";"February";"March";"April";"May";"June";"July";"August";"September";"October";"November";"December"}, 0)</f>
        <v>4</v>
      </c>
      <c r="M176" s="1" t="str" cm="1">
        <f t="array" ref="M176">IF(patients[[#This Row],[length_of_stay]]&gt;patients!$N$2:$N$2,"Over average","Less than average")</f>
        <v>Over average</v>
      </c>
    </row>
    <row r="177" spans="2:13" x14ac:dyDescent="0.25">
      <c r="B177" s="1" t="s">
        <v>360</v>
      </c>
      <c r="C177" s="1" t="s">
        <v>361</v>
      </c>
      <c r="D177">
        <v>0</v>
      </c>
      <c r="E177" s="2">
        <v>45933</v>
      </c>
      <c r="F177" s="2">
        <v>45941</v>
      </c>
      <c r="G177" s="1" t="s">
        <v>17</v>
      </c>
      <c r="H177">
        <v>71</v>
      </c>
      <c r="I177" s="19">
        <f>patients[[#This Row],[departure_date]]-patients[[#This Row],[arrival_date]]</f>
        <v>8</v>
      </c>
      <c r="J177" t="str">
        <f>IF(patients[[#This Row],[age]] &lt; 18,"0-17",IF(patients[[#This Row],[age]] &lt; 40,"18-39",IF(patients[[#This Row],[age]] &lt; 65,"40-64","65+")))</f>
        <v>0-17</v>
      </c>
      <c r="K177" s="1" t="str">
        <f>TEXT(patients[[#This Row],[arrival_date]],"[$-409]mmmm")</f>
        <v>October</v>
      </c>
      <c r="L177" s="1">
        <f>MATCH(K177, {"January";"February";"March";"April";"May";"June";"July";"August";"September";"October";"November";"December"}, 0)</f>
        <v>10</v>
      </c>
      <c r="M177" s="1" t="str" cm="1">
        <f t="array" ref="M177">IF(patients[[#This Row],[length_of_stay]]&gt;patients!$N$2:$N$2,"Over average","Less than average")</f>
        <v>Over average</v>
      </c>
    </row>
    <row r="178" spans="2:13" x14ac:dyDescent="0.25">
      <c r="B178" s="1" t="s">
        <v>362</v>
      </c>
      <c r="C178" s="1" t="s">
        <v>363</v>
      </c>
      <c r="D178">
        <v>0</v>
      </c>
      <c r="E178" s="2">
        <v>45721</v>
      </c>
      <c r="F178" s="2">
        <v>45727</v>
      </c>
      <c r="G178" s="1" t="s">
        <v>17</v>
      </c>
      <c r="H178">
        <v>79</v>
      </c>
      <c r="I178" s="19">
        <f>patients[[#This Row],[departure_date]]-patients[[#This Row],[arrival_date]]</f>
        <v>6</v>
      </c>
      <c r="J178" t="str">
        <f>IF(patients[[#This Row],[age]] &lt; 18,"0-17",IF(patients[[#This Row],[age]] &lt; 40,"18-39",IF(patients[[#This Row],[age]] &lt; 65,"40-64","65+")))</f>
        <v>0-17</v>
      </c>
      <c r="K178" s="1" t="str">
        <f>TEXT(patients[[#This Row],[arrival_date]],"[$-409]mmmm")</f>
        <v>March</v>
      </c>
      <c r="L178" s="1">
        <f>MATCH(K178, {"January";"February";"March";"April";"May";"June";"July";"August";"September";"October";"November";"December"}, 0)</f>
        <v>3</v>
      </c>
      <c r="M178" s="1" t="str" cm="1">
        <f t="array" ref="M178">IF(patients[[#This Row],[length_of_stay]]&gt;patients!$N$2:$N$2,"Over average","Less than average")</f>
        <v>Less than average</v>
      </c>
    </row>
    <row r="179" spans="2:13" x14ac:dyDescent="0.25">
      <c r="B179" s="1" t="s">
        <v>364</v>
      </c>
      <c r="C179" s="1" t="s">
        <v>365</v>
      </c>
      <c r="D179">
        <v>27</v>
      </c>
      <c r="E179" s="2">
        <v>45764</v>
      </c>
      <c r="F179" s="2">
        <v>45769</v>
      </c>
      <c r="G179" s="1" t="s">
        <v>17</v>
      </c>
      <c r="H179">
        <v>96</v>
      </c>
      <c r="I179" s="19">
        <f>patients[[#This Row],[departure_date]]-patients[[#This Row],[arrival_date]]</f>
        <v>5</v>
      </c>
      <c r="J179" t="str">
        <f>IF(patients[[#This Row],[age]] &lt; 18,"0-17",IF(patients[[#This Row],[age]] &lt; 40,"18-39",IF(patients[[#This Row],[age]] &lt; 65,"40-64","65+")))</f>
        <v>18-39</v>
      </c>
      <c r="K179" s="1" t="str">
        <f>TEXT(patients[[#This Row],[arrival_date]],"[$-409]mmmm")</f>
        <v>April</v>
      </c>
      <c r="L179" s="1">
        <f>MATCH(K179, {"January";"February";"March";"April";"May";"June";"July";"August";"September";"October";"November";"December"}, 0)</f>
        <v>4</v>
      </c>
      <c r="M179" s="1" t="str" cm="1">
        <f t="array" ref="M179">IF(patients[[#This Row],[length_of_stay]]&gt;patients!$N$2:$N$2,"Over average","Less than average")</f>
        <v>Less than average</v>
      </c>
    </row>
    <row r="180" spans="2:13" x14ac:dyDescent="0.25">
      <c r="B180" s="1" t="s">
        <v>366</v>
      </c>
      <c r="C180" s="1" t="s">
        <v>367</v>
      </c>
      <c r="D180">
        <v>75</v>
      </c>
      <c r="E180" s="2">
        <v>45962</v>
      </c>
      <c r="F180" s="2">
        <v>45963</v>
      </c>
      <c r="G180" s="1" t="s">
        <v>17</v>
      </c>
      <c r="H180">
        <v>87</v>
      </c>
      <c r="I180" s="19">
        <f>patients[[#This Row],[departure_date]]-patients[[#This Row],[arrival_date]]</f>
        <v>1</v>
      </c>
      <c r="J180" t="str">
        <f>IF(patients[[#This Row],[age]] &lt; 18,"0-17",IF(patients[[#This Row],[age]] &lt; 40,"18-39",IF(patients[[#This Row],[age]] &lt; 65,"40-64","65+")))</f>
        <v>65+</v>
      </c>
      <c r="K180" s="1" t="str">
        <f>TEXT(patients[[#This Row],[arrival_date]],"[$-409]mmmm")</f>
        <v>November</v>
      </c>
      <c r="L180" s="1">
        <f>MATCH(K180, {"January";"February";"March";"April";"May";"June";"July";"August";"September";"October";"November";"December"}, 0)</f>
        <v>11</v>
      </c>
      <c r="M180" s="1" t="str" cm="1">
        <f t="array" ref="M180">IF(patients[[#This Row],[length_of_stay]]&gt;patients!$N$2:$N$2,"Over average","Less than average")</f>
        <v>Less than average</v>
      </c>
    </row>
    <row r="181" spans="2:13" x14ac:dyDescent="0.25">
      <c r="B181" s="1" t="s">
        <v>368</v>
      </c>
      <c r="C181" s="1" t="s">
        <v>369</v>
      </c>
      <c r="D181">
        <v>78</v>
      </c>
      <c r="E181" s="2">
        <v>45765</v>
      </c>
      <c r="F181" s="2">
        <v>45776</v>
      </c>
      <c r="G181" s="1" t="s">
        <v>9</v>
      </c>
      <c r="H181">
        <v>79</v>
      </c>
      <c r="I181" s="19">
        <f>patients[[#This Row],[departure_date]]-patients[[#This Row],[arrival_date]]</f>
        <v>11</v>
      </c>
      <c r="J181" t="str">
        <f>IF(patients[[#This Row],[age]] &lt; 18,"0-17",IF(patients[[#This Row],[age]] &lt; 40,"18-39",IF(patients[[#This Row],[age]] &lt; 65,"40-64","65+")))</f>
        <v>65+</v>
      </c>
      <c r="K181" s="1" t="str">
        <f>TEXT(patients[[#This Row],[arrival_date]],"[$-409]mmmm")</f>
        <v>April</v>
      </c>
      <c r="L181" s="1">
        <f>MATCH(K181, {"January";"February";"March";"April";"May";"June";"July";"August";"September";"October";"November";"December"}, 0)</f>
        <v>4</v>
      </c>
      <c r="M181" s="1" t="str" cm="1">
        <f t="array" ref="M181">IF(patients[[#This Row],[length_of_stay]]&gt;patients!$N$2:$N$2,"Over average","Less than average")</f>
        <v>Over average</v>
      </c>
    </row>
    <row r="182" spans="2:13" x14ac:dyDescent="0.25">
      <c r="B182" s="1" t="s">
        <v>370</v>
      </c>
      <c r="C182" s="1" t="s">
        <v>371</v>
      </c>
      <c r="D182">
        <v>77</v>
      </c>
      <c r="E182" s="2">
        <v>45950</v>
      </c>
      <c r="F182" s="2">
        <v>45954</v>
      </c>
      <c r="G182" s="1" t="s">
        <v>9</v>
      </c>
      <c r="H182">
        <v>85</v>
      </c>
      <c r="I182" s="19">
        <f>patients[[#This Row],[departure_date]]-patients[[#This Row],[arrival_date]]</f>
        <v>4</v>
      </c>
      <c r="J182" t="str">
        <f>IF(patients[[#This Row],[age]] &lt; 18,"0-17",IF(patients[[#This Row],[age]] &lt; 40,"18-39",IF(patients[[#This Row],[age]] &lt; 65,"40-64","65+")))</f>
        <v>65+</v>
      </c>
      <c r="K182" s="1" t="str">
        <f>TEXT(patients[[#This Row],[arrival_date]],"[$-409]mmmm")</f>
        <v>October</v>
      </c>
      <c r="L182" s="1">
        <f>MATCH(K182, {"January";"February";"March";"April";"May";"June";"July";"August";"September";"October";"November";"December"}, 0)</f>
        <v>10</v>
      </c>
      <c r="M182" s="1" t="str" cm="1">
        <f t="array" ref="M182">IF(patients[[#This Row],[length_of_stay]]&gt;patients!$N$2:$N$2,"Over average","Less than average")</f>
        <v>Less than average</v>
      </c>
    </row>
    <row r="183" spans="2:13" x14ac:dyDescent="0.25">
      <c r="B183" s="1" t="s">
        <v>372</v>
      </c>
      <c r="C183" s="1" t="s">
        <v>373</v>
      </c>
      <c r="D183">
        <v>28</v>
      </c>
      <c r="E183" s="2">
        <v>45776</v>
      </c>
      <c r="F183" s="2">
        <v>45779</v>
      </c>
      <c r="G183" s="1" t="s">
        <v>17</v>
      </c>
      <c r="H183">
        <v>65</v>
      </c>
      <c r="I183" s="19">
        <f>patients[[#This Row],[departure_date]]-patients[[#This Row],[arrival_date]]</f>
        <v>3</v>
      </c>
      <c r="J183" t="str">
        <f>IF(patients[[#This Row],[age]] &lt; 18,"0-17",IF(patients[[#This Row],[age]] &lt; 40,"18-39",IF(patients[[#This Row],[age]] &lt; 65,"40-64","65+")))</f>
        <v>18-39</v>
      </c>
      <c r="K183" s="1" t="str">
        <f>TEXT(patients[[#This Row],[arrival_date]],"[$-409]mmmm")</f>
        <v>April</v>
      </c>
      <c r="L183" s="1">
        <f>MATCH(K183, {"January";"February";"March";"April";"May";"June";"July";"August";"September";"October";"November";"December"}, 0)</f>
        <v>4</v>
      </c>
      <c r="M183" s="1" t="str" cm="1">
        <f t="array" ref="M183">IF(patients[[#This Row],[length_of_stay]]&gt;patients!$N$2:$N$2,"Over average","Less than average")</f>
        <v>Less than average</v>
      </c>
    </row>
    <row r="184" spans="2:13" x14ac:dyDescent="0.25">
      <c r="B184" s="1" t="s">
        <v>374</v>
      </c>
      <c r="C184" s="1" t="s">
        <v>375</v>
      </c>
      <c r="D184">
        <v>58</v>
      </c>
      <c r="E184" s="2">
        <v>45818</v>
      </c>
      <c r="F184" s="2">
        <v>45819</v>
      </c>
      <c r="G184" s="1" t="s">
        <v>17</v>
      </c>
      <c r="H184">
        <v>73</v>
      </c>
      <c r="I184" s="19">
        <f>patients[[#This Row],[departure_date]]-patients[[#This Row],[arrival_date]]</f>
        <v>1</v>
      </c>
      <c r="J184" t="str">
        <f>IF(patients[[#This Row],[age]] &lt; 18,"0-17",IF(patients[[#This Row],[age]] &lt; 40,"18-39",IF(patients[[#This Row],[age]] &lt; 65,"40-64","65+")))</f>
        <v>40-64</v>
      </c>
      <c r="K184" s="1" t="str">
        <f>TEXT(patients[[#This Row],[arrival_date]],"[$-409]mmmm")</f>
        <v>June</v>
      </c>
      <c r="L184" s="1">
        <f>MATCH(K184, {"January";"February";"March";"April";"May";"June";"July";"August";"September";"October";"November";"December"}, 0)</f>
        <v>6</v>
      </c>
      <c r="M184" s="1" t="str" cm="1">
        <f t="array" ref="M184">IF(patients[[#This Row],[length_of_stay]]&gt;patients!$N$2:$N$2,"Over average","Less than average")</f>
        <v>Less than average</v>
      </c>
    </row>
    <row r="185" spans="2:13" x14ac:dyDescent="0.25">
      <c r="B185" s="1" t="s">
        <v>376</v>
      </c>
      <c r="C185" s="1" t="s">
        <v>377</v>
      </c>
      <c r="D185">
        <v>11</v>
      </c>
      <c r="E185" s="2">
        <v>45933</v>
      </c>
      <c r="F185" s="2">
        <v>45938</v>
      </c>
      <c r="G185" s="1" t="s">
        <v>9</v>
      </c>
      <c r="H185">
        <v>83</v>
      </c>
      <c r="I185" s="19">
        <f>patients[[#This Row],[departure_date]]-patients[[#This Row],[arrival_date]]</f>
        <v>5</v>
      </c>
      <c r="J185" t="str">
        <f>IF(patients[[#This Row],[age]] &lt; 18,"0-17",IF(patients[[#This Row],[age]] &lt; 40,"18-39",IF(patients[[#This Row],[age]] &lt; 65,"40-64","65+")))</f>
        <v>0-17</v>
      </c>
      <c r="K185" s="1" t="str">
        <f>TEXT(patients[[#This Row],[arrival_date]],"[$-409]mmmm")</f>
        <v>October</v>
      </c>
      <c r="L185" s="1">
        <f>MATCH(K185, {"January";"February";"March";"April";"May";"June";"July";"August";"September";"October";"November";"December"}, 0)</f>
        <v>10</v>
      </c>
      <c r="M185" s="1" t="str" cm="1">
        <f t="array" ref="M185">IF(patients[[#This Row],[length_of_stay]]&gt;patients!$N$2:$N$2,"Over average","Less than average")</f>
        <v>Less than average</v>
      </c>
    </row>
    <row r="186" spans="2:13" x14ac:dyDescent="0.25">
      <c r="B186" s="1" t="s">
        <v>378</v>
      </c>
      <c r="C186" s="1" t="s">
        <v>379</v>
      </c>
      <c r="D186">
        <v>42</v>
      </c>
      <c r="E186" s="2">
        <v>45874</v>
      </c>
      <c r="F186" s="2">
        <v>45876</v>
      </c>
      <c r="G186" s="1" t="s">
        <v>9</v>
      </c>
      <c r="H186">
        <v>88</v>
      </c>
      <c r="I186" s="19">
        <f>patients[[#This Row],[departure_date]]-patients[[#This Row],[arrival_date]]</f>
        <v>2</v>
      </c>
      <c r="J186" t="str">
        <f>IF(patients[[#This Row],[age]] &lt; 18,"0-17",IF(patients[[#This Row],[age]] &lt; 40,"18-39",IF(patients[[#This Row],[age]] &lt; 65,"40-64","65+")))</f>
        <v>40-64</v>
      </c>
      <c r="K186" s="1" t="str">
        <f>TEXT(patients[[#This Row],[arrival_date]],"[$-409]mmmm")</f>
        <v>August</v>
      </c>
      <c r="L186" s="1">
        <f>MATCH(K186, {"January";"February";"March";"April";"May";"June";"July";"August";"September";"October";"November";"December"}, 0)</f>
        <v>8</v>
      </c>
      <c r="M186" s="1" t="str" cm="1">
        <f t="array" ref="M186">IF(patients[[#This Row],[length_of_stay]]&gt;patients!$N$2:$N$2,"Over average","Less than average")</f>
        <v>Less than average</v>
      </c>
    </row>
    <row r="187" spans="2:13" x14ac:dyDescent="0.25">
      <c r="B187" s="1" t="s">
        <v>380</v>
      </c>
      <c r="C187" s="1" t="s">
        <v>381</v>
      </c>
      <c r="D187">
        <v>56</v>
      </c>
      <c r="E187" s="2">
        <v>45880</v>
      </c>
      <c r="F187" s="2">
        <v>45888</v>
      </c>
      <c r="G187" s="1" t="s">
        <v>14</v>
      </c>
      <c r="H187">
        <v>82</v>
      </c>
      <c r="I187" s="19">
        <f>patients[[#This Row],[departure_date]]-patients[[#This Row],[arrival_date]]</f>
        <v>8</v>
      </c>
      <c r="J187" t="str">
        <f>IF(patients[[#This Row],[age]] &lt; 18,"0-17",IF(patients[[#This Row],[age]] &lt; 40,"18-39",IF(patients[[#This Row],[age]] &lt; 65,"40-64","65+")))</f>
        <v>40-64</v>
      </c>
      <c r="K187" s="1" t="str">
        <f>TEXT(patients[[#This Row],[arrival_date]],"[$-409]mmmm")</f>
        <v>August</v>
      </c>
      <c r="L187" s="1">
        <f>MATCH(K187, {"January";"February";"March";"April";"May";"June";"July";"August";"September";"October";"November";"December"}, 0)</f>
        <v>8</v>
      </c>
      <c r="M187" s="1" t="str" cm="1">
        <f t="array" ref="M187">IF(patients[[#This Row],[length_of_stay]]&gt;patients!$N$2:$N$2,"Over average","Less than average")</f>
        <v>Over average</v>
      </c>
    </row>
    <row r="188" spans="2:13" x14ac:dyDescent="0.25">
      <c r="B188" s="1" t="s">
        <v>382</v>
      </c>
      <c r="C188" s="1" t="s">
        <v>383</v>
      </c>
      <c r="D188">
        <v>43</v>
      </c>
      <c r="E188" s="2">
        <v>45997</v>
      </c>
      <c r="F188" s="2">
        <v>46004</v>
      </c>
      <c r="G188" s="1" t="s">
        <v>9</v>
      </c>
      <c r="H188">
        <v>75</v>
      </c>
      <c r="I188" s="19">
        <f>patients[[#This Row],[departure_date]]-patients[[#This Row],[arrival_date]]</f>
        <v>7</v>
      </c>
      <c r="J188" t="str">
        <f>IF(patients[[#This Row],[age]] &lt; 18,"0-17",IF(patients[[#This Row],[age]] &lt; 40,"18-39",IF(patients[[#This Row],[age]] &lt; 65,"40-64","65+")))</f>
        <v>40-64</v>
      </c>
      <c r="K188" s="1" t="str">
        <f>TEXT(patients[[#This Row],[arrival_date]],"[$-409]mmmm")</f>
        <v>December</v>
      </c>
      <c r="L188" s="1">
        <f>MATCH(K188, {"January";"February";"March";"April";"May";"June";"July";"August";"September";"October";"November";"December"}, 0)</f>
        <v>12</v>
      </c>
      <c r="M188" s="1" t="str" cm="1">
        <f t="array" ref="M188">IF(patients[[#This Row],[length_of_stay]]&gt;patients!$N$2:$N$2,"Over average","Less than average")</f>
        <v>Less than average</v>
      </c>
    </row>
    <row r="189" spans="2:13" x14ac:dyDescent="0.25">
      <c r="B189" s="1" t="s">
        <v>384</v>
      </c>
      <c r="C189" s="1" t="s">
        <v>385</v>
      </c>
      <c r="D189">
        <v>49</v>
      </c>
      <c r="E189" s="2">
        <v>45665</v>
      </c>
      <c r="F189" s="2">
        <v>45667</v>
      </c>
      <c r="G189" s="1" t="s">
        <v>9</v>
      </c>
      <c r="H189">
        <v>80</v>
      </c>
      <c r="I189" s="19">
        <f>patients[[#This Row],[departure_date]]-patients[[#This Row],[arrival_date]]</f>
        <v>2</v>
      </c>
      <c r="J189" t="str">
        <f>IF(patients[[#This Row],[age]] &lt; 18,"0-17",IF(patients[[#This Row],[age]] &lt; 40,"18-39",IF(patients[[#This Row],[age]] &lt; 65,"40-64","65+")))</f>
        <v>40-64</v>
      </c>
      <c r="K189" s="1" t="str">
        <f>TEXT(patients[[#This Row],[arrival_date]],"[$-409]mmmm")</f>
        <v>January</v>
      </c>
      <c r="L189" s="1">
        <f>MATCH(K189, {"January";"February";"March";"April";"May";"June";"July";"August";"September";"October";"November";"December"}, 0)</f>
        <v>1</v>
      </c>
      <c r="M189" s="1" t="str" cm="1">
        <f t="array" ref="M189">IF(patients[[#This Row],[length_of_stay]]&gt;patients!$N$2:$N$2,"Over average","Less than average")</f>
        <v>Less than average</v>
      </c>
    </row>
    <row r="190" spans="2:13" x14ac:dyDescent="0.25">
      <c r="B190" s="1" t="s">
        <v>386</v>
      </c>
      <c r="C190" s="1" t="s">
        <v>387</v>
      </c>
      <c r="D190">
        <v>0</v>
      </c>
      <c r="E190" s="2">
        <v>45921</v>
      </c>
      <c r="F190" s="2">
        <v>45934</v>
      </c>
      <c r="G190" s="1" t="s">
        <v>14</v>
      </c>
      <c r="H190">
        <v>91</v>
      </c>
      <c r="I190" s="19">
        <f>patients[[#This Row],[departure_date]]-patients[[#This Row],[arrival_date]]</f>
        <v>13</v>
      </c>
      <c r="J190" t="str">
        <f>IF(patients[[#This Row],[age]] &lt; 18,"0-17",IF(patients[[#This Row],[age]] &lt; 40,"18-39",IF(patients[[#This Row],[age]] &lt; 65,"40-64","65+")))</f>
        <v>0-17</v>
      </c>
      <c r="K190" s="1" t="str">
        <f>TEXT(patients[[#This Row],[arrival_date]],"[$-409]mmmm")</f>
        <v>September</v>
      </c>
      <c r="L190" s="1">
        <f>MATCH(K190, {"January";"February";"March";"April";"May";"June";"July";"August";"September";"October";"November";"December"}, 0)</f>
        <v>9</v>
      </c>
      <c r="M190" s="1" t="str" cm="1">
        <f t="array" ref="M190">IF(patients[[#This Row],[length_of_stay]]&gt;patients!$N$2:$N$2,"Over average","Less than average")</f>
        <v>Over average</v>
      </c>
    </row>
    <row r="191" spans="2:13" x14ac:dyDescent="0.25">
      <c r="B191" s="1" t="s">
        <v>388</v>
      </c>
      <c r="C191" s="1" t="s">
        <v>389</v>
      </c>
      <c r="D191">
        <v>4</v>
      </c>
      <c r="E191" s="2">
        <v>45743</v>
      </c>
      <c r="F191" s="2">
        <v>45745</v>
      </c>
      <c r="G191" s="1" t="s">
        <v>14</v>
      </c>
      <c r="H191">
        <v>60</v>
      </c>
      <c r="I191" s="19">
        <f>patients[[#This Row],[departure_date]]-patients[[#This Row],[arrival_date]]</f>
        <v>2</v>
      </c>
      <c r="J191" t="str">
        <f>IF(patients[[#This Row],[age]] &lt; 18,"0-17",IF(patients[[#This Row],[age]] &lt; 40,"18-39",IF(patients[[#This Row],[age]] &lt; 65,"40-64","65+")))</f>
        <v>0-17</v>
      </c>
      <c r="K191" s="1" t="str">
        <f>TEXT(patients[[#This Row],[arrival_date]],"[$-409]mmmm")</f>
        <v>March</v>
      </c>
      <c r="L191" s="1">
        <f>MATCH(K191, {"January";"February";"March";"April";"May";"June";"July";"August";"September";"October";"November";"December"}, 0)</f>
        <v>3</v>
      </c>
      <c r="M191" s="1" t="str" cm="1">
        <f t="array" ref="M191">IF(patients[[#This Row],[length_of_stay]]&gt;patients!$N$2:$N$2,"Over average","Less than average")</f>
        <v>Less than average</v>
      </c>
    </row>
    <row r="192" spans="2:13" x14ac:dyDescent="0.25">
      <c r="B192" s="1" t="s">
        <v>390</v>
      </c>
      <c r="C192" s="1" t="s">
        <v>391</v>
      </c>
      <c r="D192">
        <v>54</v>
      </c>
      <c r="E192" s="2">
        <v>45875</v>
      </c>
      <c r="F192" s="2">
        <v>45886</v>
      </c>
      <c r="G192" s="1" t="s">
        <v>14</v>
      </c>
      <c r="H192">
        <v>69</v>
      </c>
      <c r="I192" s="19">
        <f>patients[[#This Row],[departure_date]]-patients[[#This Row],[arrival_date]]</f>
        <v>11</v>
      </c>
      <c r="J192" t="str">
        <f>IF(patients[[#This Row],[age]] &lt; 18,"0-17",IF(patients[[#This Row],[age]] &lt; 40,"18-39",IF(patients[[#This Row],[age]] &lt; 65,"40-64","65+")))</f>
        <v>40-64</v>
      </c>
      <c r="K192" s="1" t="str">
        <f>TEXT(patients[[#This Row],[arrival_date]],"[$-409]mmmm")</f>
        <v>August</v>
      </c>
      <c r="L192" s="1">
        <f>MATCH(K192, {"January";"February";"March";"April";"May";"June";"July";"August";"September";"October";"November";"December"}, 0)</f>
        <v>8</v>
      </c>
      <c r="M192" s="1" t="str" cm="1">
        <f t="array" ref="M192">IF(patients[[#This Row],[length_of_stay]]&gt;patients!$N$2:$N$2,"Over average","Less than average")</f>
        <v>Over average</v>
      </c>
    </row>
    <row r="193" spans="2:13" x14ac:dyDescent="0.25">
      <c r="B193" s="1" t="s">
        <v>392</v>
      </c>
      <c r="C193" s="1" t="s">
        <v>393</v>
      </c>
      <c r="D193">
        <v>29</v>
      </c>
      <c r="E193" s="2">
        <v>45802</v>
      </c>
      <c r="F193" s="2">
        <v>45812</v>
      </c>
      <c r="G193" s="1" t="s">
        <v>9</v>
      </c>
      <c r="H193">
        <v>67</v>
      </c>
      <c r="I193" s="19">
        <f>patients[[#This Row],[departure_date]]-patients[[#This Row],[arrival_date]]</f>
        <v>10</v>
      </c>
      <c r="J193" t="str">
        <f>IF(patients[[#This Row],[age]] &lt; 18,"0-17",IF(patients[[#This Row],[age]] &lt; 40,"18-39",IF(patients[[#This Row],[age]] &lt; 65,"40-64","65+")))</f>
        <v>18-39</v>
      </c>
      <c r="K193" s="1" t="str">
        <f>TEXT(patients[[#This Row],[arrival_date]],"[$-409]mmmm")</f>
        <v>May</v>
      </c>
      <c r="L193" s="1">
        <f>MATCH(K193, {"January";"February";"March";"April";"May";"June";"July";"August";"September";"October";"November";"December"}, 0)</f>
        <v>5</v>
      </c>
      <c r="M193" s="1" t="str" cm="1">
        <f t="array" ref="M193">IF(patients[[#This Row],[length_of_stay]]&gt;patients!$N$2:$N$2,"Over average","Less than average")</f>
        <v>Over average</v>
      </c>
    </row>
    <row r="194" spans="2:13" x14ac:dyDescent="0.25">
      <c r="B194" s="1" t="s">
        <v>394</v>
      </c>
      <c r="C194" s="1" t="s">
        <v>395</v>
      </c>
      <c r="D194">
        <v>46</v>
      </c>
      <c r="E194" s="2">
        <v>45733</v>
      </c>
      <c r="F194" s="2">
        <v>45744</v>
      </c>
      <c r="G194" s="1" t="s">
        <v>20</v>
      </c>
      <c r="H194">
        <v>67</v>
      </c>
      <c r="I194" s="19">
        <f>patients[[#This Row],[departure_date]]-patients[[#This Row],[arrival_date]]</f>
        <v>11</v>
      </c>
      <c r="J194" t="str">
        <f>IF(patients[[#This Row],[age]] &lt; 18,"0-17",IF(patients[[#This Row],[age]] &lt; 40,"18-39",IF(patients[[#This Row],[age]] &lt; 65,"40-64","65+")))</f>
        <v>40-64</v>
      </c>
      <c r="K194" s="1" t="str">
        <f>TEXT(patients[[#This Row],[arrival_date]],"[$-409]mmmm")</f>
        <v>March</v>
      </c>
      <c r="L194" s="1">
        <f>MATCH(K194, {"January";"February";"March";"April";"May";"June";"July";"August";"September";"October";"November";"December"}, 0)</f>
        <v>3</v>
      </c>
      <c r="M194" s="1" t="str" cm="1">
        <f t="array" ref="M194">IF(patients[[#This Row],[length_of_stay]]&gt;patients!$N$2:$N$2,"Over average","Less than average")</f>
        <v>Over average</v>
      </c>
    </row>
    <row r="195" spans="2:13" x14ac:dyDescent="0.25">
      <c r="B195" s="1" t="s">
        <v>396</v>
      </c>
      <c r="C195" s="1" t="s">
        <v>397</v>
      </c>
      <c r="D195">
        <v>88</v>
      </c>
      <c r="E195" s="2">
        <v>45946</v>
      </c>
      <c r="F195" s="2">
        <v>45947</v>
      </c>
      <c r="G195" s="1" t="s">
        <v>9</v>
      </c>
      <c r="H195">
        <v>78</v>
      </c>
      <c r="I195" s="19">
        <f>patients[[#This Row],[departure_date]]-patients[[#This Row],[arrival_date]]</f>
        <v>1</v>
      </c>
      <c r="J195" t="str">
        <f>IF(patients[[#This Row],[age]] &lt; 18,"0-17",IF(patients[[#This Row],[age]] &lt; 40,"18-39",IF(patients[[#This Row],[age]] &lt; 65,"40-64","65+")))</f>
        <v>65+</v>
      </c>
      <c r="K195" s="1" t="str">
        <f>TEXT(patients[[#This Row],[arrival_date]],"[$-409]mmmm")</f>
        <v>October</v>
      </c>
      <c r="L195" s="1">
        <f>MATCH(K195, {"January";"February";"March";"April";"May";"June";"July";"August";"September";"October";"November";"December"}, 0)</f>
        <v>10</v>
      </c>
      <c r="M195" s="1" t="str" cm="1">
        <f t="array" ref="M195">IF(patients[[#This Row],[length_of_stay]]&gt;patients!$N$2:$N$2,"Over average","Less than average")</f>
        <v>Less than average</v>
      </c>
    </row>
    <row r="196" spans="2:13" x14ac:dyDescent="0.25">
      <c r="B196" s="1" t="s">
        <v>398</v>
      </c>
      <c r="C196" s="1" t="s">
        <v>399</v>
      </c>
      <c r="D196">
        <v>30</v>
      </c>
      <c r="E196" s="2">
        <v>45799</v>
      </c>
      <c r="F196" s="2">
        <v>45804</v>
      </c>
      <c r="G196" s="1" t="s">
        <v>20</v>
      </c>
      <c r="H196">
        <v>64</v>
      </c>
      <c r="I196" s="19">
        <f>patients[[#This Row],[departure_date]]-patients[[#This Row],[arrival_date]]</f>
        <v>5</v>
      </c>
      <c r="J196" t="str">
        <f>IF(patients[[#This Row],[age]] &lt; 18,"0-17",IF(patients[[#This Row],[age]] &lt; 40,"18-39",IF(patients[[#This Row],[age]] &lt; 65,"40-64","65+")))</f>
        <v>18-39</v>
      </c>
      <c r="K196" s="1" t="str">
        <f>TEXT(patients[[#This Row],[arrival_date]],"[$-409]mmmm")</f>
        <v>May</v>
      </c>
      <c r="L196" s="1">
        <f>MATCH(K196, {"January";"February";"March";"April";"May";"June";"July";"August";"September";"October";"November";"December"}, 0)</f>
        <v>5</v>
      </c>
      <c r="M196" s="1" t="str" cm="1">
        <f t="array" ref="M196">IF(patients[[#This Row],[length_of_stay]]&gt;patients!$N$2:$N$2,"Over average","Less than average")</f>
        <v>Less than average</v>
      </c>
    </row>
    <row r="197" spans="2:13" x14ac:dyDescent="0.25">
      <c r="B197" s="1" t="s">
        <v>400</v>
      </c>
      <c r="C197" s="1" t="s">
        <v>401</v>
      </c>
      <c r="D197">
        <v>89</v>
      </c>
      <c r="E197" s="2">
        <v>45877</v>
      </c>
      <c r="F197" s="2">
        <v>45879</v>
      </c>
      <c r="G197" s="1" t="s">
        <v>9</v>
      </c>
      <c r="H197">
        <v>65</v>
      </c>
      <c r="I197" s="19">
        <f>patients[[#This Row],[departure_date]]-patients[[#This Row],[arrival_date]]</f>
        <v>2</v>
      </c>
      <c r="J197" t="str">
        <f>IF(patients[[#This Row],[age]] &lt; 18,"0-17",IF(patients[[#This Row],[age]] &lt; 40,"18-39",IF(patients[[#This Row],[age]] &lt; 65,"40-64","65+")))</f>
        <v>65+</v>
      </c>
      <c r="K197" s="1" t="str">
        <f>TEXT(patients[[#This Row],[arrival_date]],"[$-409]mmmm")</f>
        <v>August</v>
      </c>
      <c r="L197" s="1">
        <f>MATCH(K197, {"January";"February";"March";"April";"May";"June";"July";"August";"September";"October";"November";"December"}, 0)</f>
        <v>8</v>
      </c>
      <c r="M197" s="1" t="str" cm="1">
        <f t="array" ref="M197">IF(patients[[#This Row],[length_of_stay]]&gt;patients!$N$2:$N$2,"Over average","Less than average")</f>
        <v>Less than average</v>
      </c>
    </row>
    <row r="198" spans="2:13" x14ac:dyDescent="0.25">
      <c r="B198" s="1" t="s">
        <v>402</v>
      </c>
      <c r="C198" s="1" t="s">
        <v>403</v>
      </c>
      <c r="D198">
        <v>62</v>
      </c>
      <c r="E198" s="2">
        <v>45818</v>
      </c>
      <c r="F198" s="2">
        <v>45827</v>
      </c>
      <c r="G198" s="1" t="s">
        <v>17</v>
      </c>
      <c r="H198">
        <v>84</v>
      </c>
      <c r="I198" s="19">
        <f>patients[[#This Row],[departure_date]]-patients[[#This Row],[arrival_date]]</f>
        <v>9</v>
      </c>
      <c r="J198" t="str">
        <f>IF(patients[[#This Row],[age]] &lt; 18,"0-17",IF(patients[[#This Row],[age]] &lt; 40,"18-39",IF(patients[[#This Row],[age]] &lt; 65,"40-64","65+")))</f>
        <v>40-64</v>
      </c>
      <c r="K198" s="1" t="str">
        <f>TEXT(patients[[#This Row],[arrival_date]],"[$-409]mmmm")</f>
        <v>June</v>
      </c>
      <c r="L198" s="1">
        <f>MATCH(K198, {"January";"February";"March";"April";"May";"June";"July";"August";"September";"October";"November";"December"}, 0)</f>
        <v>6</v>
      </c>
      <c r="M198" s="1" t="str" cm="1">
        <f t="array" ref="M198">IF(patients[[#This Row],[length_of_stay]]&gt;patients!$N$2:$N$2,"Over average","Less than average")</f>
        <v>Over average</v>
      </c>
    </row>
    <row r="199" spans="2:13" x14ac:dyDescent="0.25">
      <c r="B199" s="1" t="s">
        <v>404</v>
      </c>
      <c r="C199" s="1" t="s">
        <v>405</v>
      </c>
      <c r="D199">
        <v>47</v>
      </c>
      <c r="E199" s="2">
        <v>45730</v>
      </c>
      <c r="F199" s="2">
        <v>45735</v>
      </c>
      <c r="G199" s="1" t="s">
        <v>17</v>
      </c>
      <c r="H199">
        <v>72</v>
      </c>
      <c r="I199" s="19">
        <f>patients[[#This Row],[departure_date]]-patients[[#This Row],[arrival_date]]</f>
        <v>5</v>
      </c>
      <c r="J199" t="str">
        <f>IF(patients[[#This Row],[age]] &lt; 18,"0-17",IF(patients[[#This Row],[age]] &lt; 40,"18-39",IF(patients[[#This Row],[age]] &lt; 65,"40-64","65+")))</f>
        <v>40-64</v>
      </c>
      <c r="K199" s="1" t="str">
        <f>TEXT(patients[[#This Row],[arrival_date]],"[$-409]mmmm")</f>
        <v>March</v>
      </c>
      <c r="L199" s="1">
        <f>MATCH(K199, {"January";"February";"March";"April";"May";"June";"July";"August";"September";"October";"November";"December"}, 0)</f>
        <v>3</v>
      </c>
      <c r="M199" s="1" t="str" cm="1">
        <f t="array" ref="M199">IF(patients[[#This Row],[length_of_stay]]&gt;patients!$N$2:$N$2,"Over average","Less than average")</f>
        <v>Less than average</v>
      </c>
    </row>
    <row r="200" spans="2:13" x14ac:dyDescent="0.25">
      <c r="B200" s="1" t="s">
        <v>406</v>
      </c>
      <c r="C200" s="1" t="s">
        <v>407</v>
      </c>
      <c r="D200">
        <v>30</v>
      </c>
      <c r="E200" s="2">
        <v>45981</v>
      </c>
      <c r="F200" s="2">
        <v>45983</v>
      </c>
      <c r="G200" s="1" t="s">
        <v>17</v>
      </c>
      <c r="H200">
        <v>97</v>
      </c>
      <c r="I200" s="19">
        <f>patients[[#This Row],[departure_date]]-patients[[#This Row],[arrival_date]]</f>
        <v>2</v>
      </c>
      <c r="J200" t="str">
        <f>IF(patients[[#This Row],[age]] &lt; 18,"0-17",IF(patients[[#This Row],[age]] &lt; 40,"18-39",IF(patients[[#This Row],[age]] &lt; 65,"40-64","65+")))</f>
        <v>18-39</v>
      </c>
      <c r="K200" s="1" t="str">
        <f>TEXT(patients[[#This Row],[arrival_date]],"[$-409]mmmm")</f>
        <v>November</v>
      </c>
      <c r="L200" s="1">
        <f>MATCH(K200, {"January";"February";"March";"April";"May";"June";"July";"August";"September";"October";"November";"December"}, 0)</f>
        <v>11</v>
      </c>
      <c r="M200" s="1" t="str" cm="1">
        <f t="array" ref="M200">IF(patients[[#This Row],[length_of_stay]]&gt;patients!$N$2:$N$2,"Over average","Less than average")</f>
        <v>Less than average</v>
      </c>
    </row>
    <row r="201" spans="2:13" x14ac:dyDescent="0.25">
      <c r="B201" s="1" t="s">
        <v>408</v>
      </c>
      <c r="C201" s="1" t="s">
        <v>409</v>
      </c>
      <c r="D201">
        <v>3</v>
      </c>
      <c r="E201" s="2">
        <v>45676</v>
      </c>
      <c r="F201" s="2">
        <v>45682</v>
      </c>
      <c r="G201" s="1" t="s">
        <v>9</v>
      </c>
      <c r="H201">
        <v>93</v>
      </c>
      <c r="I201" s="19">
        <f>patients[[#This Row],[departure_date]]-patients[[#This Row],[arrival_date]]</f>
        <v>6</v>
      </c>
      <c r="J201" t="str">
        <f>IF(patients[[#This Row],[age]] &lt; 18,"0-17",IF(patients[[#This Row],[age]] &lt; 40,"18-39",IF(patients[[#This Row],[age]] &lt; 65,"40-64","65+")))</f>
        <v>0-17</v>
      </c>
      <c r="K201" s="1" t="str">
        <f>TEXT(patients[[#This Row],[arrival_date]],"[$-409]mmmm")</f>
        <v>January</v>
      </c>
      <c r="L201" s="1">
        <f>MATCH(K201, {"January";"February";"March";"April";"May";"June";"July";"August";"September";"October";"November";"December"}, 0)</f>
        <v>1</v>
      </c>
      <c r="M201" s="1" t="str" cm="1">
        <f t="array" ref="M201">IF(patients[[#This Row],[length_of_stay]]&gt;patients!$N$2:$N$2,"Over average","Less than average")</f>
        <v>Less than average</v>
      </c>
    </row>
    <row r="202" spans="2:13" x14ac:dyDescent="0.25">
      <c r="B202" s="1" t="s">
        <v>410</v>
      </c>
      <c r="C202" s="1" t="s">
        <v>411</v>
      </c>
      <c r="D202">
        <v>81</v>
      </c>
      <c r="E202" s="2">
        <v>45936</v>
      </c>
      <c r="F202" s="2">
        <v>45939</v>
      </c>
      <c r="G202" s="1" t="s">
        <v>17</v>
      </c>
      <c r="H202">
        <v>70</v>
      </c>
      <c r="I202" s="19">
        <f>patients[[#This Row],[departure_date]]-patients[[#This Row],[arrival_date]]</f>
        <v>3</v>
      </c>
      <c r="J202" t="str">
        <f>IF(patients[[#This Row],[age]] &lt; 18,"0-17",IF(patients[[#This Row],[age]] &lt; 40,"18-39",IF(patients[[#This Row],[age]] &lt; 65,"40-64","65+")))</f>
        <v>65+</v>
      </c>
      <c r="K202" s="1" t="str">
        <f>TEXT(patients[[#This Row],[arrival_date]],"[$-409]mmmm")</f>
        <v>October</v>
      </c>
      <c r="L202" s="1">
        <f>MATCH(K202, {"January";"February";"March";"April";"May";"June";"July";"August";"September";"October";"November";"December"}, 0)</f>
        <v>10</v>
      </c>
      <c r="M202" s="1" t="str" cm="1">
        <f t="array" ref="M202">IF(patients[[#This Row],[length_of_stay]]&gt;patients!$N$2:$N$2,"Over average","Less than average")</f>
        <v>Less than average</v>
      </c>
    </row>
    <row r="203" spans="2:13" x14ac:dyDescent="0.25">
      <c r="B203" s="1" t="s">
        <v>412</v>
      </c>
      <c r="C203" s="1" t="s">
        <v>413</v>
      </c>
      <c r="D203">
        <v>0</v>
      </c>
      <c r="E203" s="2">
        <v>45967</v>
      </c>
      <c r="F203" s="2">
        <v>45974</v>
      </c>
      <c r="G203" s="1" t="s">
        <v>20</v>
      </c>
      <c r="H203">
        <v>84</v>
      </c>
      <c r="I203" s="19">
        <f>patients[[#This Row],[departure_date]]-patients[[#This Row],[arrival_date]]</f>
        <v>7</v>
      </c>
      <c r="J203" t="str">
        <f>IF(patients[[#This Row],[age]] &lt; 18,"0-17",IF(patients[[#This Row],[age]] &lt; 40,"18-39",IF(patients[[#This Row],[age]] &lt; 65,"40-64","65+")))</f>
        <v>0-17</v>
      </c>
      <c r="K203" s="1" t="str">
        <f>TEXT(patients[[#This Row],[arrival_date]],"[$-409]mmmm")</f>
        <v>November</v>
      </c>
      <c r="L203" s="1">
        <f>MATCH(K203, {"January";"February";"March";"April";"May";"June";"July";"August";"September";"October";"November";"December"}, 0)</f>
        <v>11</v>
      </c>
      <c r="M203" s="1" t="str" cm="1">
        <f t="array" ref="M203">IF(patients[[#This Row],[length_of_stay]]&gt;patients!$N$2:$N$2,"Over average","Less than average")</f>
        <v>Less than average</v>
      </c>
    </row>
    <row r="204" spans="2:13" x14ac:dyDescent="0.25">
      <c r="B204" s="1" t="s">
        <v>414</v>
      </c>
      <c r="C204" s="1" t="s">
        <v>415</v>
      </c>
      <c r="D204">
        <v>84</v>
      </c>
      <c r="E204" s="2">
        <v>45722</v>
      </c>
      <c r="F204" s="2">
        <v>45734</v>
      </c>
      <c r="G204" s="1" t="s">
        <v>14</v>
      </c>
      <c r="H204">
        <v>66</v>
      </c>
      <c r="I204" s="19">
        <f>patients[[#This Row],[departure_date]]-patients[[#This Row],[arrival_date]]</f>
        <v>12</v>
      </c>
      <c r="J204" t="str">
        <f>IF(patients[[#This Row],[age]] &lt; 18,"0-17",IF(patients[[#This Row],[age]] &lt; 40,"18-39",IF(patients[[#This Row],[age]] &lt; 65,"40-64","65+")))</f>
        <v>65+</v>
      </c>
      <c r="K204" s="1" t="str">
        <f>TEXT(patients[[#This Row],[arrival_date]],"[$-409]mmmm")</f>
        <v>March</v>
      </c>
      <c r="L204" s="1">
        <f>MATCH(K204, {"January";"February";"March";"April";"May";"June";"July";"August";"September";"October";"November";"December"}, 0)</f>
        <v>3</v>
      </c>
      <c r="M204" s="1" t="str" cm="1">
        <f t="array" ref="M204">IF(patients[[#This Row],[length_of_stay]]&gt;patients!$N$2:$N$2,"Over average","Less than average")</f>
        <v>Over average</v>
      </c>
    </row>
    <row r="205" spans="2:13" x14ac:dyDescent="0.25">
      <c r="B205" s="1" t="s">
        <v>416</v>
      </c>
      <c r="C205" s="1" t="s">
        <v>417</v>
      </c>
      <c r="D205">
        <v>14</v>
      </c>
      <c r="E205" s="2">
        <v>45973</v>
      </c>
      <c r="F205" s="2">
        <v>45986</v>
      </c>
      <c r="G205" s="1" t="s">
        <v>17</v>
      </c>
      <c r="H205">
        <v>84</v>
      </c>
      <c r="I205" s="19">
        <f>patients[[#This Row],[departure_date]]-patients[[#This Row],[arrival_date]]</f>
        <v>13</v>
      </c>
      <c r="J205" t="str">
        <f>IF(patients[[#This Row],[age]] &lt; 18,"0-17",IF(patients[[#This Row],[age]] &lt; 40,"18-39",IF(patients[[#This Row],[age]] &lt; 65,"40-64","65+")))</f>
        <v>0-17</v>
      </c>
      <c r="K205" s="1" t="str">
        <f>TEXT(patients[[#This Row],[arrival_date]],"[$-409]mmmm")</f>
        <v>November</v>
      </c>
      <c r="L205" s="1">
        <f>MATCH(K205, {"January";"February";"March";"April";"May";"June";"July";"August";"September";"October";"November";"December"}, 0)</f>
        <v>11</v>
      </c>
      <c r="M205" s="1" t="str" cm="1">
        <f t="array" ref="M205">IF(patients[[#This Row],[length_of_stay]]&gt;patients!$N$2:$N$2,"Over average","Less than average")</f>
        <v>Over average</v>
      </c>
    </row>
    <row r="206" spans="2:13" x14ac:dyDescent="0.25">
      <c r="B206" s="1" t="s">
        <v>418</v>
      </c>
      <c r="C206" s="1" t="s">
        <v>419</v>
      </c>
      <c r="D206">
        <v>32</v>
      </c>
      <c r="E206" s="2">
        <v>45881</v>
      </c>
      <c r="F206" s="2">
        <v>45882</v>
      </c>
      <c r="G206" s="1" t="s">
        <v>17</v>
      </c>
      <c r="H206">
        <v>94</v>
      </c>
      <c r="I206" s="19">
        <f>patients[[#This Row],[departure_date]]-patients[[#This Row],[arrival_date]]</f>
        <v>1</v>
      </c>
      <c r="J206" t="str">
        <f>IF(patients[[#This Row],[age]] &lt; 18,"0-17",IF(patients[[#This Row],[age]] &lt; 40,"18-39",IF(patients[[#This Row],[age]] &lt; 65,"40-64","65+")))</f>
        <v>18-39</v>
      </c>
      <c r="K206" s="1" t="str">
        <f>TEXT(patients[[#This Row],[arrival_date]],"[$-409]mmmm")</f>
        <v>August</v>
      </c>
      <c r="L206" s="1">
        <f>MATCH(K206, {"January";"February";"March";"April";"May";"June";"July";"August";"September";"October";"November";"December"}, 0)</f>
        <v>8</v>
      </c>
      <c r="M206" s="1" t="str" cm="1">
        <f t="array" ref="M206">IF(patients[[#This Row],[length_of_stay]]&gt;patients!$N$2:$N$2,"Over average","Less than average")</f>
        <v>Less than average</v>
      </c>
    </row>
    <row r="207" spans="2:13" x14ac:dyDescent="0.25">
      <c r="B207" s="1" t="s">
        <v>420</v>
      </c>
      <c r="C207" s="1" t="s">
        <v>421</v>
      </c>
      <c r="D207">
        <v>43</v>
      </c>
      <c r="E207" s="2">
        <v>45924</v>
      </c>
      <c r="F207" s="2">
        <v>45927</v>
      </c>
      <c r="G207" s="1" t="s">
        <v>9</v>
      </c>
      <c r="H207">
        <v>67</v>
      </c>
      <c r="I207" s="19">
        <f>patients[[#This Row],[departure_date]]-patients[[#This Row],[arrival_date]]</f>
        <v>3</v>
      </c>
      <c r="J207" t="str">
        <f>IF(patients[[#This Row],[age]] &lt; 18,"0-17",IF(patients[[#This Row],[age]] &lt; 40,"18-39",IF(patients[[#This Row],[age]] &lt; 65,"40-64","65+")))</f>
        <v>40-64</v>
      </c>
      <c r="K207" s="1" t="str">
        <f>TEXT(patients[[#This Row],[arrival_date]],"[$-409]mmmm")</f>
        <v>September</v>
      </c>
      <c r="L207" s="1">
        <f>MATCH(K207, {"January";"February";"March";"April";"May";"June";"July";"August";"September";"October";"November";"December"}, 0)</f>
        <v>9</v>
      </c>
      <c r="M207" s="1" t="str" cm="1">
        <f t="array" ref="M207">IF(patients[[#This Row],[length_of_stay]]&gt;patients!$N$2:$N$2,"Over average","Less than average")</f>
        <v>Less than average</v>
      </c>
    </row>
    <row r="208" spans="2:13" x14ac:dyDescent="0.25">
      <c r="B208" s="1" t="s">
        <v>422</v>
      </c>
      <c r="C208" s="1" t="s">
        <v>423</v>
      </c>
      <c r="D208">
        <v>77</v>
      </c>
      <c r="E208" s="2">
        <v>45922</v>
      </c>
      <c r="F208" s="2">
        <v>45925</v>
      </c>
      <c r="G208" s="1" t="s">
        <v>9</v>
      </c>
      <c r="H208">
        <v>80</v>
      </c>
      <c r="I208" s="19">
        <f>patients[[#This Row],[departure_date]]-patients[[#This Row],[arrival_date]]</f>
        <v>3</v>
      </c>
      <c r="J208" t="str">
        <f>IF(patients[[#This Row],[age]] &lt; 18,"0-17",IF(patients[[#This Row],[age]] &lt; 40,"18-39",IF(patients[[#This Row],[age]] &lt; 65,"40-64","65+")))</f>
        <v>65+</v>
      </c>
      <c r="K208" s="1" t="str">
        <f>TEXT(patients[[#This Row],[arrival_date]],"[$-409]mmmm")</f>
        <v>September</v>
      </c>
      <c r="L208" s="1">
        <f>MATCH(K208, {"January";"February";"March";"April";"May";"June";"July";"August";"September";"October";"November";"December"}, 0)</f>
        <v>9</v>
      </c>
      <c r="M208" s="1" t="str" cm="1">
        <f t="array" ref="M208">IF(patients[[#This Row],[length_of_stay]]&gt;patients!$N$2:$N$2,"Over average","Less than average")</f>
        <v>Less than average</v>
      </c>
    </row>
    <row r="209" spans="2:13" x14ac:dyDescent="0.25">
      <c r="B209" s="1" t="s">
        <v>424</v>
      </c>
      <c r="C209" s="1" t="s">
        <v>425</v>
      </c>
      <c r="D209">
        <v>25</v>
      </c>
      <c r="E209" s="2">
        <v>45961</v>
      </c>
      <c r="F209" s="2">
        <v>45963</v>
      </c>
      <c r="G209" s="1" t="s">
        <v>20</v>
      </c>
      <c r="H209">
        <v>65</v>
      </c>
      <c r="I209" s="19">
        <f>patients[[#This Row],[departure_date]]-patients[[#This Row],[arrival_date]]</f>
        <v>2</v>
      </c>
      <c r="J209" t="str">
        <f>IF(patients[[#This Row],[age]] &lt; 18,"0-17",IF(patients[[#This Row],[age]] &lt; 40,"18-39",IF(patients[[#This Row],[age]] &lt; 65,"40-64","65+")))</f>
        <v>18-39</v>
      </c>
      <c r="K209" s="1" t="str">
        <f>TEXT(patients[[#This Row],[arrival_date]],"[$-409]mmmm")</f>
        <v>October</v>
      </c>
      <c r="L209" s="1">
        <f>MATCH(K209, {"January";"February";"March";"April";"May";"June";"July";"August";"September";"October";"November";"December"}, 0)</f>
        <v>10</v>
      </c>
      <c r="M209" s="1" t="str" cm="1">
        <f t="array" ref="M209">IF(patients[[#This Row],[length_of_stay]]&gt;patients!$N$2:$N$2,"Over average","Less than average")</f>
        <v>Less than average</v>
      </c>
    </row>
    <row r="210" spans="2:13" x14ac:dyDescent="0.25">
      <c r="B210" s="1" t="s">
        <v>426</v>
      </c>
      <c r="C210" s="1" t="s">
        <v>427</v>
      </c>
      <c r="D210">
        <v>27</v>
      </c>
      <c r="E210" s="2">
        <v>45878</v>
      </c>
      <c r="F210" s="2">
        <v>45888</v>
      </c>
      <c r="G210" s="1" t="s">
        <v>17</v>
      </c>
      <c r="H210">
        <v>84</v>
      </c>
      <c r="I210" s="19">
        <f>patients[[#This Row],[departure_date]]-patients[[#This Row],[arrival_date]]</f>
        <v>10</v>
      </c>
      <c r="J210" t="str">
        <f>IF(patients[[#This Row],[age]] &lt; 18,"0-17",IF(patients[[#This Row],[age]] &lt; 40,"18-39",IF(patients[[#This Row],[age]] &lt; 65,"40-64","65+")))</f>
        <v>18-39</v>
      </c>
      <c r="K210" s="1" t="str">
        <f>TEXT(patients[[#This Row],[arrival_date]],"[$-409]mmmm")</f>
        <v>August</v>
      </c>
      <c r="L210" s="1">
        <f>MATCH(K210, {"January";"February";"March";"April";"May";"June";"July";"August";"September";"October";"November";"December"}, 0)</f>
        <v>8</v>
      </c>
      <c r="M210" s="1" t="str" cm="1">
        <f t="array" ref="M210">IF(patients[[#This Row],[length_of_stay]]&gt;patients!$N$2:$N$2,"Over average","Less than average")</f>
        <v>Over average</v>
      </c>
    </row>
    <row r="211" spans="2:13" x14ac:dyDescent="0.25">
      <c r="B211" s="1" t="s">
        <v>428</v>
      </c>
      <c r="C211" s="1" t="s">
        <v>429</v>
      </c>
      <c r="D211">
        <v>11</v>
      </c>
      <c r="E211" s="2">
        <v>45961</v>
      </c>
      <c r="F211" s="2">
        <v>45966</v>
      </c>
      <c r="G211" s="1" t="s">
        <v>17</v>
      </c>
      <c r="H211">
        <v>74</v>
      </c>
      <c r="I211" s="19">
        <f>patients[[#This Row],[departure_date]]-patients[[#This Row],[arrival_date]]</f>
        <v>5</v>
      </c>
      <c r="J211" t="str">
        <f>IF(patients[[#This Row],[age]] &lt; 18,"0-17",IF(patients[[#This Row],[age]] &lt; 40,"18-39",IF(patients[[#This Row],[age]] &lt; 65,"40-64","65+")))</f>
        <v>0-17</v>
      </c>
      <c r="K211" s="1" t="str">
        <f>TEXT(patients[[#This Row],[arrival_date]],"[$-409]mmmm")</f>
        <v>October</v>
      </c>
      <c r="L211" s="1">
        <f>MATCH(K211, {"January";"February";"March";"April";"May";"June";"July";"August";"September";"October";"November";"December"}, 0)</f>
        <v>10</v>
      </c>
      <c r="M211" s="1" t="str" cm="1">
        <f t="array" ref="M211">IF(patients[[#This Row],[length_of_stay]]&gt;patients!$N$2:$N$2,"Over average","Less than average")</f>
        <v>Less than average</v>
      </c>
    </row>
    <row r="212" spans="2:13" x14ac:dyDescent="0.25">
      <c r="B212" s="1" t="s">
        <v>430</v>
      </c>
      <c r="C212" s="1" t="s">
        <v>431</v>
      </c>
      <c r="D212">
        <v>43</v>
      </c>
      <c r="E212" s="2">
        <v>45928</v>
      </c>
      <c r="F212" s="2">
        <v>45939</v>
      </c>
      <c r="G212" s="1" t="s">
        <v>20</v>
      </c>
      <c r="H212">
        <v>82</v>
      </c>
      <c r="I212" s="19">
        <f>patients[[#This Row],[departure_date]]-patients[[#This Row],[arrival_date]]</f>
        <v>11</v>
      </c>
      <c r="J212" t="str">
        <f>IF(patients[[#This Row],[age]] &lt; 18,"0-17",IF(patients[[#This Row],[age]] &lt; 40,"18-39",IF(patients[[#This Row],[age]] &lt; 65,"40-64","65+")))</f>
        <v>40-64</v>
      </c>
      <c r="K212" s="1" t="str">
        <f>TEXT(patients[[#This Row],[arrival_date]],"[$-409]mmmm")</f>
        <v>September</v>
      </c>
      <c r="L212" s="1">
        <f>MATCH(K212, {"January";"February";"March";"April";"May";"June";"July";"August";"September";"October";"November";"December"}, 0)</f>
        <v>9</v>
      </c>
      <c r="M212" s="1" t="str" cm="1">
        <f t="array" ref="M212">IF(patients[[#This Row],[length_of_stay]]&gt;patients!$N$2:$N$2,"Over average","Less than average")</f>
        <v>Over average</v>
      </c>
    </row>
    <row r="213" spans="2:13" x14ac:dyDescent="0.25">
      <c r="B213" s="1" t="s">
        <v>432</v>
      </c>
      <c r="C213" s="1" t="s">
        <v>433</v>
      </c>
      <c r="D213">
        <v>69</v>
      </c>
      <c r="E213" s="2">
        <v>46021</v>
      </c>
      <c r="F213" s="2">
        <v>46032</v>
      </c>
      <c r="G213" s="1" t="s">
        <v>9</v>
      </c>
      <c r="H213">
        <v>80</v>
      </c>
      <c r="I213" s="19">
        <f>patients[[#This Row],[departure_date]]-patients[[#This Row],[arrival_date]]</f>
        <v>11</v>
      </c>
      <c r="J213" t="str">
        <f>IF(patients[[#This Row],[age]] &lt; 18,"0-17",IF(patients[[#This Row],[age]] &lt; 40,"18-39",IF(patients[[#This Row],[age]] &lt; 65,"40-64","65+")))</f>
        <v>65+</v>
      </c>
      <c r="K213" s="1" t="str">
        <f>TEXT(patients[[#This Row],[arrival_date]],"[$-409]mmmm")</f>
        <v>December</v>
      </c>
      <c r="L213" s="1">
        <f>MATCH(K213, {"January";"February";"March";"April";"May";"June";"July";"August";"September";"October";"November";"December"}, 0)</f>
        <v>12</v>
      </c>
      <c r="M213" s="1" t="str" cm="1">
        <f t="array" ref="M213">IF(patients[[#This Row],[length_of_stay]]&gt;patients!$N$2:$N$2,"Over average","Less than average")</f>
        <v>Over average</v>
      </c>
    </row>
    <row r="214" spans="2:13" x14ac:dyDescent="0.25">
      <c r="B214" s="1" t="s">
        <v>434</v>
      </c>
      <c r="C214" s="1" t="s">
        <v>435</v>
      </c>
      <c r="D214">
        <v>22</v>
      </c>
      <c r="E214" s="2">
        <v>45993</v>
      </c>
      <c r="F214" s="2">
        <v>45998</v>
      </c>
      <c r="G214" s="1" t="s">
        <v>14</v>
      </c>
      <c r="H214">
        <v>74</v>
      </c>
      <c r="I214" s="19">
        <f>patients[[#This Row],[departure_date]]-patients[[#This Row],[arrival_date]]</f>
        <v>5</v>
      </c>
      <c r="J214" t="str">
        <f>IF(patients[[#This Row],[age]] &lt; 18,"0-17",IF(patients[[#This Row],[age]] &lt; 40,"18-39",IF(patients[[#This Row],[age]] &lt; 65,"40-64","65+")))</f>
        <v>18-39</v>
      </c>
      <c r="K214" s="1" t="str">
        <f>TEXT(patients[[#This Row],[arrival_date]],"[$-409]mmmm")</f>
        <v>December</v>
      </c>
      <c r="L214" s="1">
        <f>MATCH(K214, {"January";"February";"March";"April";"May";"June";"July";"August";"September";"October";"November";"December"}, 0)</f>
        <v>12</v>
      </c>
      <c r="M214" s="1" t="str" cm="1">
        <f t="array" ref="M214">IF(patients[[#This Row],[length_of_stay]]&gt;patients!$N$2:$N$2,"Over average","Less than average")</f>
        <v>Less than average</v>
      </c>
    </row>
    <row r="215" spans="2:13" x14ac:dyDescent="0.25">
      <c r="B215" s="1" t="s">
        <v>436</v>
      </c>
      <c r="C215" s="1" t="s">
        <v>437</v>
      </c>
      <c r="D215">
        <v>24</v>
      </c>
      <c r="E215" s="2">
        <v>45860</v>
      </c>
      <c r="F215" s="2">
        <v>45863</v>
      </c>
      <c r="G215" s="1" t="s">
        <v>20</v>
      </c>
      <c r="H215">
        <v>74</v>
      </c>
      <c r="I215" s="19">
        <f>patients[[#This Row],[departure_date]]-patients[[#This Row],[arrival_date]]</f>
        <v>3</v>
      </c>
      <c r="J215" t="str">
        <f>IF(patients[[#This Row],[age]] &lt; 18,"0-17",IF(patients[[#This Row],[age]] &lt; 40,"18-39",IF(patients[[#This Row],[age]] &lt; 65,"40-64","65+")))</f>
        <v>18-39</v>
      </c>
      <c r="K215" s="1" t="str">
        <f>TEXT(patients[[#This Row],[arrival_date]],"[$-409]mmmm")</f>
        <v>July</v>
      </c>
      <c r="L215" s="1">
        <f>MATCH(K215, {"January";"February";"March";"April";"May";"June";"July";"August";"September";"October";"November";"December"}, 0)</f>
        <v>7</v>
      </c>
      <c r="M215" s="1" t="str" cm="1">
        <f t="array" ref="M215">IF(patients[[#This Row],[length_of_stay]]&gt;patients!$N$2:$N$2,"Over average","Less than average")</f>
        <v>Less than average</v>
      </c>
    </row>
    <row r="216" spans="2:13" x14ac:dyDescent="0.25">
      <c r="B216" s="1" t="s">
        <v>438</v>
      </c>
      <c r="C216" s="1" t="s">
        <v>439</v>
      </c>
      <c r="D216">
        <v>67</v>
      </c>
      <c r="E216" s="2">
        <v>45798</v>
      </c>
      <c r="F216" s="2">
        <v>45804</v>
      </c>
      <c r="G216" s="1" t="s">
        <v>17</v>
      </c>
      <c r="H216">
        <v>78</v>
      </c>
      <c r="I216" s="19">
        <f>patients[[#This Row],[departure_date]]-patients[[#This Row],[arrival_date]]</f>
        <v>6</v>
      </c>
      <c r="J216" t="str">
        <f>IF(patients[[#This Row],[age]] &lt; 18,"0-17",IF(patients[[#This Row],[age]] &lt; 40,"18-39",IF(patients[[#This Row],[age]] &lt; 65,"40-64","65+")))</f>
        <v>65+</v>
      </c>
      <c r="K216" s="1" t="str">
        <f>TEXT(patients[[#This Row],[arrival_date]],"[$-409]mmmm")</f>
        <v>May</v>
      </c>
      <c r="L216" s="1">
        <f>MATCH(K216, {"January";"February";"March";"April";"May";"June";"July";"August";"September";"October";"November";"December"}, 0)</f>
        <v>5</v>
      </c>
      <c r="M216" s="1" t="str" cm="1">
        <f t="array" ref="M216">IF(patients[[#This Row],[length_of_stay]]&gt;patients!$N$2:$N$2,"Over average","Less than average")</f>
        <v>Less than average</v>
      </c>
    </row>
    <row r="217" spans="2:13" x14ac:dyDescent="0.25">
      <c r="B217" s="1" t="s">
        <v>440</v>
      </c>
      <c r="C217" s="1" t="s">
        <v>441</v>
      </c>
      <c r="D217">
        <v>33</v>
      </c>
      <c r="E217" s="2">
        <v>45709</v>
      </c>
      <c r="F217" s="2">
        <v>45723</v>
      </c>
      <c r="G217" s="1" t="s">
        <v>9</v>
      </c>
      <c r="H217">
        <v>86</v>
      </c>
      <c r="I217" s="19">
        <f>patients[[#This Row],[departure_date]]-patients[[#This Row],[arrival_date]]</f>
        <v>14</v>
      </c>
      <c r="J217" t="str">
        <f>IF(patients[[#This Row],[age]] &lt; 18,"0-17",IF(patients[[#This Row],[age]] &lt; 40,"18-39",IF(patients[[#This Row],[age]] &lt; 65,"40-64","65+")))</f>
        <v>18-39</v>
      </c>
      <c r="K217" s="1" t="str">
        <f>TEXT(patients[[#This Row],[arrival_date]],"[$-409]mmmm")</f>
        <v>February</v>
      </c>
      <c r="L217" s="1">
        <f>MATCH(K217, {"January";"February";"March";"April";"May";"June";"July";"August";"September";"October";"November";"December"}, 0)</f>
        <v>2</v>
      </c>
      <c r="M217" s="1" t="str" cm="1">
        <f t="array" ref="M217">IF(patients[[#This Row],[length_of_stay]]&gt;patients!$N$2:$N$2,"Over average","Less than average")</f>
        <v>Over average</v>
      </c>
    </row>
    <row r="218" spans="2:13" x14ac:dyDescent="0.25">
      <c r="B218" s="1" t="s">
        <v>442</v>
      </c>
      <c r="C218" s="1" t="s">
        <v>443</v>
      </c>
      <c r="D218">
        <v>28</v>
      </c>
      <c r="E218" s="2">
        <v>45813</v>
      </c>
      <c r="F218" s="2">
        <v>45816</v>
      </c>
      <c r="G218" s="1" t="s">
        <v>14</v>
      </c>
      <c r="H218">
        <v>67</v>
      </c>
      <c r="I218" s="19">
        <f>patients[[#This Row],[departure_date]]-patients[[#This Row],[arrival_date]]</f>
        <v>3</v>
      </c>
      <c r="J218" t="str">
        <f>IF(patients[[#This Row],[age]] &lt; 18,"0-17",IF(patients[[#This Row],[age]] &lt; 40,"18-39",IF(patients[[#This Row],[age]] &lt; 65,"40-64","65+")))</f>
        <v>18-39</v>
      </c>
      <c r="K218" s="1" t="str">
        <f>TEXT(patients[[#This Row],[arrival_date]],"[$-409]mmmm")</f>
        <v>June</v>
      </c>
      <c r="L218" s="1">
        <f>MATCH(K218, {"January";"February";"March";"April";"May";"June";"July";"August";"September";"October";"November";"December"}, 0)</f>
        <v>6</v>
      </c>
      <c r="M218" s="1" t="str" cm="1">
        <f t="array" ref="M218">IF(patients[[#This Row],[length_of_stay]]&gt;patients!$N$2:$N$2,"Over average","Less than average")</f>
        <v>Less than average</v>
      </c>
    </row>
    <row r="219" spans="2:13" x14ac:dyDescent="0.25">
      <c r="B219" s="1" t="s">
        <v>444</v>
      </c>
      <c r="C219" s="1" t="s">
        <v>445</v>
      </c>
      <c r="D219">
        <v>15</v>
      </c>
      <c r="E219" s="2">
        <v>45815</v>
      </c>
      <c r="F219" s="2">
        <v>45817</v>
      </c>
      <c r="G219" s="1" t="s">
        <v>9</v>
      </c>
      <c r="H219">
        <v>61</v>
      </c>
      <c r="I219" s="19">
        <f>patients[[#This Row],[departure_date]]-patients[[#This Row],[arrival_date]]</f>
        <v>2</v>
      </c>
      <c r="J219" t="str">
        <f>IF(patients[[#This Row],[age]] &lt; 18,"0-17",IF(patients[[#This Row],[age]] &lt; 40,"18-39",IF(patients[[#This Row],[age]] &lt; 65,"40-64","65+")))</f>
        <v>0-17</v>
      </c>
      <c r="K219" s="1" t="str">
        <f>TEXT(patients[[#This Row],[arrival_date]],"[$-409]mmmm")</f>
        <v>June</v>
      </c>
      <c r="L219" s="1">
        <f>MATCH(K219, {"January";"February";"March";"April";"May";"June";"July";"August";"September";"October";"November";"December"}, 0)</f>
        <v>6</v>
      </c>
      <c r="M219" s="1" t="str" cm="1">
        <f t="array" ref="M219">IF(patients[[#This Row],[length_of_stay]]&gt;patients!$N$2:$N$2,"Over average","Less than average")</f>
        <v>Less than average</v>
      </c>
    </row>
    <row r="220" spans="2:13" x14ac:dyDescent="0.25">
      <c r="B220" s="1" t="s">
        <v>446</v>
      </c>
      <c r="C220" s="1" t="s">
        <v>447</v>
      </c>
      <c r="D220">
        <v>48</v>
      </c>
      <c r="E220" s="2">
        <v>45789</v>
      </c>
      <c r="F220" s="2">
        <v>45799</v>
      </c>
      <c r="G220" s="1" t="s">
        <v>17</v>
      </c>
      <c r="H220">
        <v>84</v>
      </c>
      <c r="I220" s="19">
        <f>patients[[#This Row],[departure_date]]-patients[[#This Row],[arrival_date]]</f>
        <v>10</v>
      </c>
      <c r="J220" t="str">
        <f>IF(patients[[#This Row],[age]] &lt; 18,"0-17",IF(patients[[#This Row],[age]] &lt; 40,"18-39",IF(patients[[#This Row],[age]] &lt; 65,"40-64","65+")))</f>
        <v>40-64</v>
      </c>
      <c r="K220" s="1" t="str">
        <f>TEXT(patients[[#This Row],[arrival_date]],"[$-409]mmmm")</f>
        <v>May</v>
      </c>
      <c r="L220" s="1">
        <f>MATCH(K220, {"January";"February";"March";"April";"May";"June";"July";"August";"September";"October";"November";"December"}, 0)</f>
        <v>5</v>
      </c>
      <c r="M220" s="1" t="str" cm="1">
        <f t="array" ref="M220">IF(patients[[#This Row],[length_of_stay]]&gt;patients!$N$2:$N$2,"Over average","Less than average")</f>
        <v>Over average</v>
      </c>
    </row>
    <row r="221" spans="2:13" x14ac:dyDescent="0.25">
      <c r="B221" s="1" t="s">
        <v>448</v>
      </c>
      <c r="C221" s="1" t="s">
        <v>449</v>
      </c>
      <c r="D221">
        <v>74</v>
      </c>
      <c r="E221" s="2">
        <v>46008</v>
      </c>
      <c r="F221" s="2">
        <v>46020</v>
      </c>
      <c r="G221" s="1" t="s">
        <v>14</v>
      </c>
      <c r="H221">
        <v>69</v>
      </c>
      <c r="I221" s="19">
        <f>patients[[#This Row],[departure_date]]-patients[[#This Row],[arrival_date]]</f>
        <v>12</v>
      </c>
      <c r="J221" t="str">
        <f>IF(patients[[#This Row],[age]] &lt; 18,"0-17",IF(patients[[#This Row],[age]] &lt; 40,"18-39",IF(patients[[#This Row],[age]] &lt; 65,"40-64","65+")))</f>
        <v>65+</v>
      </c>
      <c r="K221" s="1" t="str">
        <f>TEXT(patients[[#This Row],[arrival_date]],"[$-409]mmmm")</f>
        <v>December</v>
      </c>
      <c r="L221" s="1">
        <f>MATCH(K221, {"January";"February";"March";"April";"May";"June";"July";"August";"September";"October";"November";"December"}, 0)</f>
        <v>12</v>
      </c>
      <c r="M221" s="1" t="str" cm="1">
        <f t="array" ref="M221">IF(patients[[#This Row],[length_of_stay]]&gt;patients!$N$2:$N$2,"Over average","Less than average")</f>
        <v>Over average</v>
      </c>
    </row>
    <row r="222" spans="2:13" x14ac:dyDescent="0.25">
      <c r="B222" s="1" t="s">
        <v>450</v>
      </c>
      <c r="C222" s="1" t="s">
        <v>451</v>
      </c>
      <c r="D222">
        <v>38</v>
      </c>
      <c r="E222" s="2">
        <v>45816</v>
      </c>
      <c r="F222" s="2">
        <v>45823</v>
      </c>
      <c r="G222" s="1" t="s">
        <v>17</v>
      </c>
      <c r="H222">
        <v>95</v>
      </c>
      <c r="I222" s="19">
        <f>patients[[#This Row],[departure_date]]-patients[[#This Row],[arrival_date]]</f>
        <v>7</v>
      </c>
      <c r="J222" t="str">
        <f>IF(patients[[#This Row],[age]] &lt; 18,"0-17",IF(patients[[#This Row],[age]] &lt; 40,"18-39",IF(patients[[#This Row],[age]] &lt; 65,"40-64","65+")))</f>
        <v>18-39</v>
      </c>
      <c r="K222" s="1" t="str">
        <f>TEXT(patients[[#This Row],[arrival_date]],"[$-409]mmmm")</f>
        <v>June</v>
      </c>
      <c r="L222" s="1">
        <f>MATCH(K222, {"January";"February";"March";"April";"May";"June";"July";"August";"September";"October";"November";"December"}, 0)</f>
        <v>6</v>
      </c>
      <c r="M222" s="1" t="str" cm="1">
        <f t="array" ref="M222">IF(patients[[#This Row],[length_of_stay]]&gt;patients!$N$2:$N$2,"Over average","Less than average")</f>
        <v>Less than average</v>
      </c>
    </row>
    <row r="223" spans="2:13" x14ac:dyDescent="0.25">
      <c r="B223" s="1" t="s">
        <v>452</v>
      </c>
      <c r="C223" s="1" t="s">
        <v>453</v>
      </c>
      <c r="D223">
        <v>83</v>
      </c>
      <c r="E223" s="2">
        <v>45920</v>
      </c>
      <c r="F223" s="2">
        <v>45926</v>
      </c>
      <c r="G223" s="1" t="s">
        <v>20</v>
      </c>
      <c r="H223">
        <v>60</v>
      </c>
      <c r="I223" s="19">
        <f>patients[[#This Row],[departure_date]]-patients[[#This Row],[arrival_date]]</f>
        <v>6</v>
      </c>
      <c r="J223" t="str">
        <f>IF(patients[[#This Row],[age]] &lt; 18,"0-17",IF(patients[[#This Row],[age]] &lt; 40,"18-39",IF(patients[[#This Row],[age]] &lt; 65,"40-64","65+")))</f>
        <v>65+</v>
      </c>
      <c r="K223" s="1" t="str">
        <f>TEXT(patients[[#This Row],[arrival_date]],"[$-409]mmmm")</f>
        <v>September</v>
      </c>
      <c r="L223" s="1">
        <f>MATCH(K223, {"January";"February";"March";"April";"May";"June";"July";"August";"September";"October";"November";"December"}, 0)</f>
        <v>9</v>
      </c>
      <c r="M223" s="1" t="str" cm="1">
        <f t="array" ref="M223">IF(patients[[#This Row],[length_of_stay]]&gt;patients!$N$2:$N$2,"Over average","Less than average")</f>
        <v>Less than average</v>
      </c>
    </row>
    <row r="224" spans="2:13" x14ac:dyDescent="0.25">
      <c r="B224" s="1" t="s">
        <v>454</v>
      </c>
      <c r="C224" s="1" t="s">
        <v>455</v>
      </c>
      <c r="D224">
        <v>43</v>
      </c>
      <c r="E224" s="2">
        <v>45830</v>
      </c>
      <c r="F224" s="2">
        <v>45840</v>
      </c>
      <c r="G224" s="1" t="s">
        <v>20</v>
      </c>
      <c r="H224">
        <v>72</v>
      </c>
      <c r="I224" s="19">
        <f>patients[[#This Row],[departure_date]]-patients[[#This Row],[arrival_date]]</f>
        <v>10</v>
      </c>
      <c r="J224" t="str">
        <f>IF(patients[[#This Row],[age]] &lt; 18,"0-17",IF(patients[[#This Row],[age]] &lt; 40,"18-39",IF(patients[[#This Row],[age]] &lt; 65,"40-64","65+")))</f>
        <v>40-64</v>
      </c>
      <c r="K224" s="1" t="str">
        <f>TEXT(patients[[#This Row],[arrival_date]],"[$-409]mmmm")</f>
        <v>June</v>
      </c>
      <c r="L224" s="1">
        <f>MATCH(K224, {"January";"February";"March";"April";"May";"June";"July";"August";"September";"October";"November";"December"}, 0)</f>
        <v>6</v>
      </c>
      <c r="M224" s="1" t="str" cm="1">
        <f t="array" ref="M224">IF(patients[[#This Row],[length_of_stay]]&gt;patients!$N$2:$N$2,"Over average","Less than average")</f>
        <v>Over average</v>
      </c>
    </row>
    <row r="225" spans="2:13" x14ac:dyDescent="0.25">
      <c r="B225" s="1" t="s">
        <v>456</v>
      </c>
      <c r="C225" s="1" t="s">
        <v>457</v>
      </c>
      <c r="D225">
        <v>21</v>
      </c>
      <c r="E225" s="2">
        <v>45934</v>
      </c>
      <c r="F225" s="2">
        <v>45940</v>
      </c>
      <c r="G225" s="1" t="s">
        <v>9</v>
      </c>
      <c r="H225">
        <v>87</v>
      </c>
      <c r="I225" s="19">
        <f>patients[[#This Row],[departure_date]]-patients[[#This Row],[arrival_date]]</f>
        <v>6</v>
      </c>
      <c r="J225" t="str">
        <f>IF(patients[[#This Row],[age]] &lt; 18,"0-17",IF(patients[[#This Row],[age]] &lt; 40,"18-39",IF(patients[[#This Row],[age]] &lt; 65,"40-64","65+")))</f>
        <v>18-39</v>
      </c>
      <c r="K225" s="1" t="str">
        <f>TEXT(patients[[#This Row],[arrival_date]],"[$-409]mmmm")</f>
        <v>October</v>
      </c>
      <c r="L225" s="1">
        <f>MATCH(K225, {"January";"February";"March";"April";"May";"June";"July";"August";"September";"October";"November";"December"}, 0)</f>
        <v>10</v>
      </c>
      <c r="M225" s="1" t="str" cm="1">
        <f t="array" ref="M225">IF(patients[[#This Row],[length_of_stay]]&gt;patients!$N$2:$N$2,"Over average","Less than average")</f>
        <v>Less than average</v>
      </c>
    </row>
    <row r="226" spans="2:13" x14ac:dyDescent="0.25">
      <c r="B226" s="1" t="s">
        <v>458</v>
      </c>
      <c r="C226" s="1" t="s">
        <v>459</v>
      </c>
      <c r="D226">
        <v>8</v>
      </c>
      <c r="E226" s="2">
        <v>45666</v>
      </c>
      <c r="F226" s="2">
        <v>45676</v>
      </c>
      <c r="G226" s="1" t="s">
        <v>9</v>
      </c>
      <c r="H226">
        <v>83</v>
      </c>
      <c r="I226" s="19">
        <f>patients[[#This Row],[departure_date]]-patients[[#This Row],[arrival_date]]</f>
        <v>10</v>
      </c>
      <c r="J226" t="str">
        <f>IF(patients[[#This Row],[age]] &lt; 18,"0-17",IF(patients[[#This Row],[age]] &lt; 40,"18-39",IF(patients[[#This Row],[age]] &lt; 65,"40-64","65+")))</f>
        <v>0-17</v>
      </c>
      <c r="K226" s="1" t="str">
        <f>TEXT(patients[[#This Row],[arrival_date]],"[$-409]mmmm")</f>
        <v>January</v>
      </c>
      <c r="L226" s="1">
        <f>MATCH(K226, {"January";"February";"March";"April";"May";"June";"July";"August";"September";"October";"November";"December"}, 0)</f>
        <v>1</v>
      </c>
      <c r="M226" s="1" t="str" cm="1">
        <f t="array" ref="M226">IF(patients[[#This Row],[length_of_stay]]&gt;patients!$N$2:$N$2,"Over average","Less than average")</f>
        <v>Over average</v>
      </c>
    </row>
    <row r="227" spans="2:13" x14ac:dyDescent="0.25">
      <c r="B227" s="1" t="s">
        <v>460</v>
      </c>
      <c r="C227" s="1" t="s">
        <v>461</v>
      </c>
      <c r="D227">
        <v>41</v>
      </c>
      <c r="E227" s="2">
        <v>45809</v>
      </c>
      <c r="F227" s="2">
        <v>45810</v>
      </c>
      <c r="G227" s="1" t="s">
        <v>20</v>
      </c>
      <c r="H227">
        <v>85</v>
      </c>
      <c r="I227" s="19">
        <f>patients[[#This Row],[departure_date]]-patients[[#This Row],[arrival_date]]</f>
        <v>1</v>
      </c>
      <c r="J227" t="str">
        <f>IF(patients[[#This Row],[age]] &lt; 18,"0-17",IF(patients[[#This Row],[age]] &lt; 40,"18-39",IF(patients[[#This Row],[age]] &lt; 65,"40-64","65+")))</f>
        <v>40-64</v>
      </c>
      <c r="K227" s="1" t="str">
        <f>TEXT(patients[[#This Row],[arrival_date]],"[$-409]mmmm")</f>
        <v>June</v>
      </c>
      <c r="L227" s="1">
        <f>MATCH(K227, {"January";"February";"March";"April";"May";"June";"July";"August";"September";"October";"November";"December"}, 0)</f>
        <v>6</v>
      </c>
      <c r="M227" s="1" t="str" cm="1">
        <f t="array" ref="M227">IF(patients[[#This Row],[length_of_stay]]&gt;patients!$N$2:$N$2,"Over average","Less than average")</f>
        <v>Less than average</v>
      </c>
    </row>
    <row r="228" spans="2:13" x14ac:dyDescent="0.25">
      <c r="B228" s="1" t="s">
        <v>462</v>
      </c>
      <c r="C228" s="1" t="s">
        <v>463</v>
      </c>
      <c r="D228">
        <v>36</v>
      </c>
      <c r="E228" s="2">
        <v>45707</v>
      </c>
      <c r="F228" s="2">
        <v>45715</v>
      </c>
      <c r="G228" s="1" t="s">
        <v>20</v>
      </c>
      <c r="H228">
        <v>78</v>
      </c>
      <c r="I228" s="19">
        <f>patients[[#This Row],[departure_date]]-patients[[#This Row],[arrival_date]]</f>
        <v>8</v>
      </c>
      <c r="J228" t="str">
        <f>IF(patients[[#This Row],[age]] &lt; 18,"0-17",IF(patients[[#This Row],[age]] &lt; 40,"18-39",IF(patients[[#This Row],[age]] &lt; 65,"40-64","65+")))</f>
        <v>18-39</v>
      </c>
      <c r="K228" s="1" t="str">
        <f>TEXT(patients[[#This Row],[arrival_date]],"[$-409]mmmm")</f>
        <v>February</v>
      </c>
      <c r="L228" s="1">
        <f>MATCH(K228, {"January";"February";"March";"April";"May";"June";"July";"August";"September";"October";"November";"December"}, 0)</f>
        <v>2</v>
      </c>
      <c r="M228" s="1" t="str" cm="1">
        <f t="array" ref="M228">IF(patients[[#This Row],[length_of_stay]]&gt;patients!$N$2:$N$2,"Over average","Less than average")</f>
        <v>Over average</v>
      </c>
    </row>
    <row r="229" spans="2:13" x14ac:dyDescent="0.25">
      <c r="B229" s="1" t="s">
        <v>464</v>
      </c>
      <c r="C229" s="1" t="s">
        <v>465</v>
      </c>
      <c r="D229">
        <v>59</v>
      </c>
      <c r="E229" s="2">
        <v>45859</v>
      </c>
      <c r="F229" s="2">
        <v>45868</v>
      </c>
      <c r="G229" s="1" t="s">
        <v>14</v>
      </c>
      <c r="H229">
        <v>77</v>
      </c>
      <c r="I229" s="19">
        <f>patients[[#This Row],[departure_date]]-patients[[#This Row],[arrival_date]]</f>
        <v>9</v>
      </c>
      <c r="J229" t="str">
        <f>IF(patients[[#This Row],[age]] &lt; 18,"0-17",IF(patients[[#This Row],[age]] &lt; 40,"18-39",IF(patients[[#This Row],[age]] &lt; 65,"40-64","65+")))</f>
        <v>40-64</v>
      </c>
      <c r="K229" s="1" t="str">
        <f>TEXT(patients[[#This Row],[arrival_date]],"[$-409]mmmm")</f>
        <v>July</v>
      </c>
      <c r="L229" s="1">
        <f>MATCH(K229, {"January";"February";"March";"April";"May";"June";"July";"August";"September";"October";"November";"December"}, 0)</f>
        <v>7</v>
      </c>
      <c r="M229" s="1" t="str" cm="1">
        <f t="array" ref="M229">IF(patients[[#This Row],[length_of_stay]]&gt;patients!$N$2:$N$2,"Over average","Less than average")</f>
        <v>Over average</v>
      </c>
    </row>
    <row r="230" spans="2:13" x14ac:dyDescent="0.25">
      <c r="B230" s="1" t="s">
        <v>466</v>
      </c>
      <c r="C230" s="1" t="s">
        <v>467</v>
      </c>
      <c r="D230">
        <v>18</v>
      </c>
      <c r="E230" s="2">
        <v>45899</v>
      </c>
      <c r="F230" s="2">
        <v>45904</v>
      </c>
      <c r="G230" s="1" t="s">
        <v>20</v>
      </c>
      <c r="H230">
        <v>94</v>
      </c>
      <c r="I230" s="19">
        <f>patients[[#This Row],[departure_date]]-patients[[#This Row],[arrival_date]]</f>
        <v>5</v>
      </c>
      <c r="J230" t="str">
        <f>IF(patients[[#This Row],[age]] &lt; 18,"0-17",IF(patients[[#This Row],[age]] &lt; 40,"18-39",IF(patients[[#This Row],[age]] &lt; 65,"40-64","65+")))</f>
        <v>18-39</v>
      </c>
      <c r="K230" s="1" t="str">
        <f>TEXT(patients[[#This Row],[arrival_date]],"[$-409]mmmm")</f>
        <v>August</v>
      </c>
      <c r="L230" s="1">
        <f>MATCH(K230, {"January";"February";"March";"April";"May";"June";"July";"August";"September";"October";"November";"December"}, 0)</f>
        <v>8</v>
      </c>
      <c r="M230" s="1" t="str" cm="1">
        <f t="array" ref="M230">IF(patients[[#This Row],[length_of_stay]]&gt;patients!$N$2:$N$2,"Over average","Less than average")</f>
        <v>Less than average</v>
      </c>
    </row>
    <row r="231" spans="2:13" x14ac:dyDescent="0.25">
      <c r="B231" s="1" t="s">
        <v>468</v>
      </c>
      <c r="C231" s="1" t="s">
        <v>469</v>
      </c>
      <c r="D231">
        <v>32</v>
      </c>
      <c r="E231" s="2">
        <v>45806</v>
      </c>
      <c r="F231" s="2">
        <v>45807</v>
      </c>
      <c r="G231" s="1" t="s">
        <v>14</v>
      </c>
      <c r="H231">
        <v>81</v>
      </c>
      <c r="I231" s="19">
        <f>patients[[#This Row],[departure_date]]-patients[[#This Row],[arrival_date]]</f>
        <v>1</v>
      </c>
      <c r="J231" t="str">
        <f>IF(patients[[#This Row],[age]] &lt; 18,"0-17",IF(patients[[#This Row],[age]] &lt; 40,"18-39",IF(patients[[#This Row],[age]] &lt; 65,"40-64","65+")))</f>
        <v>18-39</v>
      </c>
      <c r="K231" s="1" t="str">
        <f>TEXT(patients[[#This Row],[arrival_date]],"[$-409]mmmm")</f>
        <v>May</v>
      </c>
      <c r="L231" s="1">
        <f>MATCH(K231, {"January";"February";"March";"April";"May";"June";"July";"August";"September";"October";"November";"December"}, 0)</f>
        <v>5</v>
      </c>
      <c r="M231" s="1" t="str" cm="1">
        <f t="array" ref="M231">IF(patients[[#This Row],[length_of_stay]]&gt;patients!$N$2:$N$2,"Over average","Less than average")</f>
        <v>Less than average</v>
      </c>
    </row>
    <row r="232" spans="2:13" x14ac:dyDescent="0.25">
      <c r="B232" s="1" t="s">
        <v>470</v>
      </c>
      <c r="C232" s="1" t="s">
        <v>471</v>
      </c>
      <c r="D232">
        <v>47</v>
      </c>
      <c r="E232" s="2">
        <v>45800</v>
      </c>
      <c r="F232" s="2">
        <v>45803</v>
      </c>
      <c r="G232" s="1" t="s">
        <v>17</v>
      </c>
      <c r="H232">
        <v>87</v>
      </c>
      <c r="I232" s="19">
        <f>patients[[#This Row],[departure_date]]-patients[[#This Row],[arrival_date]]</f>
        <v>3</v>
      </c>
      <c r="J232" t="str">
        <f>IF(patients[[#This Row],[age]] &lt; 18,"0-17",IF(patients[[#This Row],[age]] &lt; 40,"18-39",IF(patients[[#This Row],[age]] &lt; 65,"40-64","65+")))</f>
        <v>40-64</v>
      </c>
      <c r="K232" s="1" t="str">
        <f>TEXT(patients[[#This Row],[arrival_date]],"[$-409]mmmm")</f>
        <v>May</v>
      </c>
      <c r="L232" s="1">
        <f>MATCH(K232, {"January";"February";"March";"April";"May";"June";"July";"August";"September";"October";"November";"December"}, 0)</f>
        <v>5</v>
      </c>
      <c r="M232" s="1" t="str" cm="1">
        <f t="array" ref="M232">IF(patients[[#This Row],[length_of_stay]]&gt;patients!$N$2:$N$2,"Over average","Less than average")</f>
        <v>Less than average</v>
      </c>
    </row>
    <row r="233" spans="2:13" x14ac:dyDescent="0.25">
      <c r="B233" s="1" t="s">
        <v>472</v>
      </c>
      <c r="C233" s="1" t="s">
        <v>473</v>
      </c>
      <c r="D233">
        <v>70</v>
      </c>
      <c r="E233" s="2">
        <v>45668</v>
      </c>
      <c r="F233" s="2">
        <v>45678</v>
      </c>
      <c r="G233" s="1" t="s">
        <v>20</v>
      </c>
      <c r="H233">
        <v>68</v>
      </c>
      <c r="I233" s="19">
        <f>patients[[#This Row],[departure_date]]-patients[[#This Row],[arrival_date]]</f>
        <v>10</v>
      </c>
      <c r="J233" t="str">
        <f>IF(patients[[#This Row],[age]] &lt; 18,"0-17",IF(patients[[#This Row],[age]] &lt; 40,"18-39",IF(patients[[#This Row],[age]] &lt; 65,"40-64","65+")))</f>
        <v>65+</v>
      </c>
      <c r="K233" s="1" t="str">
        <f>TEXT(patients[[#This Row],[arrival_date]],"[$-409]mmmm")</f>
        <v>January</v>
      </c>
      <c r="L233" s="1">
        <f>MATCH(K233, {"January";"February";"March";"April";"May";"June";"July";"August";"September";"October";"November";"December"}, 0)</f>
        <v>1</v>
      </c>
      <c r="M233" s="1" t="str" cm="1">
        <f t="array" ref="M233">IF(patients[[#This Row],[length_of_stay]]&gt;patients!$N$2:$N$2,"Over average","Less than average")</f>
        <v>Over average</v>
      </c>
    </row>
    <row r="234" spans="2:13" x14ac:dyDescent="0.25">
      <c r="B234" s="1" t="s">
        <v>474</v>
      </c>
      <c r="C234" s="1" t="s">
        <v>475</v>
      </c>
      <c r="D234">
        <v>77</v>
      </c>
      <c r="E234" s="2">
        <v>45911</v>
      </c>
      <c r="F234" s="2">
        <v>45920</v>
      </c>
      <c r="G234" s="1" t="s">
        <v>17</v>
      </c>
      <c r="H234">
        <v>61</v>
      </c>
      <c r="I234" s="19">
        <f>patients[[#This Row],[departure_date]]-patients[[#This Row],[arrival_date]]</f>
        <v>9</v>
      </c>
      <c r="J234" t="str">
        <f>IF(patients[[#This Row],[age]] &lt; 18,"0-17",IF(patients[[#This Row],[age]] &lt; 40,"18-39",IF(patients[[#This Row],[age]] &lt; 65,"40-64","65+")))</f>
        <v>65+</v>
      </c>
      <c r="K234" s="1" t="str">
        <f>TEXT(patients[[#This Row],[arrival_date]],"[$-409]mmmm")</f>
        <v>September</v>
      </c>
      <c r="L234" s="1">
        <f>MATCH(K234, {"January";"February";"March";"April";"May";"June";"July";"August";"September";"October";"November";"December"}, 0)</f>
        <v>9</v>
      </c>
      <c r="M234" s="1" t="str" cm="1">
        <f t="array" ref="M234">IF(patients[[#This Row],[length_of_stay]]&gt;patients!$N$2:$N$2,"Over average","Less than average")</f>
        <v>Over average</v>
      </c>
    </row>
    <row r="235" spans="2:13" x14ac:dyDescent="0.25">
      <c r="B235" s="1" t="s">
        <v>476</v>
      </c>
      <c r="C235" s="1" t="s">
        <v>477</v>
      </c>
      <c r="D235">
        <v>63</v>
      </c>
      <c r="E235" s="2">
        <v>45920</v>
      </c>
      <c r="F235" s="2">
        <v>45925</v>
      </c>
      <c r="G235" s="1" t="s">
        <v>14</v>
      </c>
      <c r="H235">
        <v>77</v>
      </c>
      <c r="I235" s="19">
        <f>patients[[#This Row],[departure_date]]-patients[[#This Row],[arrival_date]]</f>
        <v>5</v>
      </c>
      <c r="J235" t="str">
        <f>IF(patients[[#This Row],[age]] &lt; 18,"0-17",IF(patients[[#This Row],[age]] &lt; 40,"18-39",IF(patients[[#This Row],[age]] &lt; 65,"40-64","65+")))</f>
        <v>40-64</v>
      </c>
      <c r="K235" s="1" t="str">
        <f>TEXT(patients[[#This Row],[arrival_date]],"[$-409]mmmm")</f>
        <v>September</v>
      </c>
      <c r="L235" s="1">
        <f>MATCH(K235, {"January";"February";"March";"April";"May";"June";"July";"August";"September";"October";"November";"December"}, 0)</f>
        <v>9</v>
      </c>
      <c r="M235" s="1" t="str" cm="1">
        <f t="array" ref="M235">IF(patients[[#This Row],[length_of_stay]]&gt;patients!$N$2:$N$2,"Over average","Less than average")</f>
        <v>Less than average</v>
      </c>
    </row>
    <row r="236" spans="2:13" x14ac:dyDescent="0.25">
      <c r="B236" s="1" t="s">
        <v>478</v>
      </c>
      <c r="C236" s="1" t="s">
        <v>479</v>
      </c>
      <c r="D236">
        <v>66</v>
      </c>
      <c r="E236" s="2">
        <v>45782</v>
      </c>
      <c r="F236" s="2">
        <v>45789</v>
      </c>
      <c r="G236" s="1" t="s">
        <v>9</v>
      </c>
      <c r="H236">
        <v>70</v>
      </c>
      <c r="I236" s="19">
        <f>patients[[#This Row],[departure_date]]-patients[[#This Row],[arrival_date]]</f>
        <v>7</v>
      </c>
      <c r="J236" t="str">
        <f>IF(patients[[#This Row],[age]] &lt; 18,"0-17",IF(patients[[#This Row],[age]] &lt; 40,"18-39",IF(patients[[#This Row],[age]] &lt; 65,"40-64","65+")))</f>
        <v>65+</v>
      </c>
      <c r="K236" s="1" t="str">
        <f>TEXT(patients[[#This Row],[arrival_date]],"[$-409]mmmm")</f>
        <v>May</v>
      </c>
      <c r="L236" s="1">
        <f>MATCH(K236, {"January";"February";"March";"April";"May";"June";"July";"August";"September";"October";"November";"December"}, 0)</f>
        <v>5</v>
      </c>
      <c r="M236" s="1" t="str" cm="1">
        <f t="array" ref="M236">IF(patients[[#This Row],[length_of_stay]]&gt;patients!$N$2:$N$2,"Over average","Less than average")</f>
        <v>Less than average</v>
      </c>
    </row>
    <row r="237" spans="2:13" x14ac:dyDescent="0.25">
      <c r="B237" s="1" t="s">
        <v>480</v>
      </c>
      <c r="C237" s="1" t="s">
        <v>481</v>
      </c>
      <c r="D237">
        <v>23</v>
      </c>
      <c r="E237" s="2">
        <v>45959</v>
      </c>
      <c r="F237" s="2">
        <v>45962</v>
      </c>
      <c r="G237" s="1" t="s">
        <v>20</v>
      </c>
      <c r="H237">
        <v>63</v>
      </c>
      <c r="I237" s="19">
        <f>patients[[#This Row],[departure_date]]-patients[[#This Row],[arrival_date]]</f>
        <v>3</v>
      </c>
      <c r="J237" t="str">
        <f>IF(patients[[#This Row],[age]] &lt; 18,"0-17",IF(patients[[#This Row],[age]] &lt; 40,"18-39",IF(patients[[#This Row],[age]] &lt; 65,"40-64","65+")))</f>
        <v>18-39</v>
      </c>
      <c r="K237" s="1" t="str">
        <f>TEXT(patients[[#This Row],[arrival_date]],"[$-409]mmmm")</f>
        <v>October</v>
      </c>
      <c r="L237" s="1">
        <f>MATCH(K237, {"January";"February";"March";"April";"May";"June";"July";"August";"September";"October";"November";"December"}, 0)</f>
        <v>10</v>
      </c>
      <c r="M237" s="1" t="str" cm="1">
        <f t="array" ref="M237">IF(patients[[#This Row],[length_of_stay]]&gt;patients!$N$2:$N$2,"Over average","Less than average")</f>
        <v>Less than average</v>
      </c>
    </row>
    <row r="238" spans="2:13" x14ac:dyDescent="0.25">
      <c r="B238" s="1" t="s">
        <v>482</v>
      </c>
      <c r="C238" s="1" t="s">
        <v>483</v>
      </c>
      <c r="D238">
        <v>89</v>
      </c>
      <c r="E238" s="2">
        <v>45699</v>
      </c>
      <c r="F238" s="2">
        <v>45706</v>
      </c>
      <c r="G238" s="1" t="s">
        <v>9</v>
      </c>
      <c r="H238">
        <v>95</v>
      </c>
      <c r="I238" s="19">
        <f>patients[[#This Row],[departure_date]]-patients[[#This Row],[arrival_date]]</f>
        <v>7</v>
      </c>
      <c r="J238" t="str">
        <f>IF(patients[[#This Row],[age]] &lt; 18,"0-17",IF(patients[[#This Row],[age]] &lt; 40,"18-39",IF(patients[[#This Row],[age]] &lt; 65,"40-64","65+")))</f>
        <v>65+</v>
      </c>
      <c r="K238" s="1" t="str">
        <f>TEXT(patients[[#This Row],[arrival_date]],"[$-409]mmmm")</f>
        <v>February</v>
      </c>
      <c r="L238" s="1">
        <f>MATCH(K238, {"January";"February";"March";"April";"May";"June";"July";"August";"September";"October";"November";"December"}, 0)</f>
        <v>2</v>
      </c>
      <c r="M238" s="1" t="str" cm="1">
        <f t="array" ref="M238">IF(patients[[#This Row],[length_of_stay]]&gt;patients!$N$2:$N$2,"Over average","Less than average")</f>
        <v>Less than average</v>
      </c>
    </row>
    <row r="239" spans="2:13" x14ac:dyDescent="0.25">
      <c r="B239" s="1" t="s">
        <v>484</v>
      </c>
      <c r="C239" s="1" t="s">
        <v>485</v>
      </c>
      <c r="D239">
        <v>35</v>
      </c>
      <c r="E239" s="2">
        <v>45730</v>
      </c>
      <c r="F239" s="2">
        <v>45738</v>
      </c>
      <c r="G239" s="1" t="s">
        <v>14</v>
      </c>
      <c r="H239">
        <v>92</v>
      </c>
      <c r="I239" s="19">
        <f>patients[[#This Row],[departure_date]]-patients[[#This Row],[arrival_date]]</f>
        <v>8</v>
      </c>
      <c r="J239" t="str">
        <f>IF(patients[[#This Row],[age]] &lt; 18,"0-17",IF(patients[[#This Row],[age]] &lt; 40,"18-39",IF(patients[[#This Row],[age]] &lt; 65,"40-64","65+")))</f>
        <v>18-39</v>
      </c>
      <c r="K239" s="1" t="str">
        <f>TEXT(patients[[#This Row],[arrival_date]],"[$-409]mmmm")</f>
        <v>March</v>
      </c>
      <c r="L239" s="1">
        <f>MATCH(K239, {"January";"February";"March";"April";"May";"June";"July";"August";"September";"October";"November";"December"}, 0)</f>
        <v>3</v>
      </c>
      <c r="M239" s="1" t="str" cm="1">
        <f t="array" ref="M239">IF(patients[[#This Row],[length_of_stay]]&gt;patients!$N$2:$N$2,"Over average","Less than average")</f>
        <v>Over average</v>
      </c>
    </row>
    <row r="240" spans="2:13" x14ac:dyDescent="0.25">
      <c r="B240" s="1" t="s">
        <v>486</v>
      </c>
      <c r="C240" s="1" t="s">
        <v>487</v>
      </c>
      <c r="D240">
        <v>69</v>
      </c>
      <c r="E240" s="2">
        <v>45853</v>
      </c>
      <c r="F240" s="2">
        <v>45866</v>
      </c>
      <c r="G240" s="1" t="s">
        <v>17</v>
      </c>
      <c r="H240">
        <v>61</v>
      </c>
      <c r="I240" s="19">
        <f>patients[[#This Row],[departure_date]]-patients[[#This Row],[arrival_date]]</f>
        <v>13</v>
      </c>
      <c r="J240" t="str">
        <f>IF(patients[[#This Row],[age]] &lt; 18,"0-17",IF(patients[[#This Row],[age]] &lt; 40,"18-39",IF(patients[[#This Row],[age]] &lt; 65,"40-64","65+")))</f>
        <v>65+</v>
      </c>
      <c r="K240" s="1" t="str">
        <f>TEXT(patients[[#This Row],[arrival_date]],"[$-409]mmmm")</f>
        <v>July</v>
      </c>
      <c r="L240" s="1">
        <f>MATCH(K240, {"January";"February";"March";"April";"May";"June";"July";"August";"September";"October";"November";"December"}, 0)</f>
        <v>7</v>
      </c>
      <c r="M240" s="1" t="str" cm="1">
        <f t="array" ref="M240">IF(patients[[#This Row],[length_of_stay]]&gt;patients!$N$2:$N$2,"Over average","Less than average")</f>
        <v>Over average</v>
      </c>
    </row>
    <row r="241" spans="2:13" x14ac:dyDescent="0.25">
      <c r="B241" s="1" t="s">
        <v>488</v>
      </c>
      <c r="C241" s="1" t="s">
        <v>489</v>
      </c>
      <c r="D241">
        <v>59</v>
      </c>
      <c r="E241" s="2">
        <v>45684</v>
      </c>
      <c r="F241" s="2">
        <v>45689</v>
      </c>
      <c r="G241" s="1" t="s">
        <v>17</v>
      </c>
      <c r="H241">
        <v>67</v>
      </c>
      <c r="I241" s="19">
        <f>patients[[#This Row],[departure_date]]-patients[[#This Row],[arrival_date]]</f>
        <v>5</v>
      </c>
      <c r="J241" t="str">
        <f>IF(patients[[#This Row],[age]] &lt; 18,"0-17",IF(patients[[#This Row],[age]] &lt; 40,"18-39",IF(patients[[#This Row],[age]] &lt; 65,"40-64","65+")))</f>
        <v>40-64</v>
      </c>
      <c r="K241" s="1" t="str">
        <f>TEXT(patients[[#This Row],[arrival_date]],"[$-409]mmmm")</f>
        <v>January</v>
      </c>
      <c r="L241" s="1">
        <f>MATCH(K241, {"January";"February";"March";"April";"May";"June";"July";"August";"September";"October";"November";"December"}, 0)</f>
        <v>1</v>
      </c>
      <c r="M241" s="1" t="str" cm="1">
        <f t="array" ref="M241">IF(patients[[#This Row],[length_of_stay]]&gt;patients!$N$2:$N$2,"Over average","Less than average")</f>
        <v>Less than average</v>
      </c>
    </row>
    <row r="242" spans="2:13" x14ac:dyDescent="0.25">
      <c r="B242" s="1" t="s">
        <v>490</v>
      </c>
      <c r="C242" s="1" t="s">
        <v>491</v>
      </c>
      <c r="D242">
        <v>71</v>
      </c>
      <c r="E242" s="2">
        <v>45724</v>
      </c>
      <c r="F242" s="2">
        <v>45730</v>
      </c>
      <c r="G242" s="1" t="s">
        <v>9</v>
      </c>
      <c r="H242">
        <v>62</v>
      </c>
      <c r="I242" s="19">
        <f>patients[[#This Row],[departure_date]]-patients[[#This Row],[arrival_date]]</f>
        <v>6</v>
      </c>
      <c r="J242" t="str">
        <f>IF(patients[[#This Row],[age]] &lt; 18,"0-17",IF(patients[[#This Row],[age]] &lt; 40,"18-39",IF(patients[[#This Row],[age]] &lt; 65,"40-64","65+")))</f>
        <v>65+</v>
      </c>
      <c r="K242" s="1" t="str">
        <f>TEXT(patients[[#This Row],[arrival_date]],"[$-409]mmmm")</f>
        <v>March</v>
      </c>
      <c r="L242" s="1">
        <f>MATCH(K242, {"January";"February";"March";"April";"May";"June";"July";"August";"September";"October";"November";"December"}, 0)</f>
        <v>3</v>
      </c>
      <c r="M242" s="1" t="str" cm="1">
        <f t="array" ref="M242">IF(patients[[#This Row],[length_of_stay]]&gt;patients!$N$2:$N$2,"Over average","Less than average")</f>
        <v>Less than average</v>
      </c>
    </row>
    <row r="243" spans="2:13" x14ac:dyDescent="0.25">
      <c r="B243" s="1" t="s">
        <v>492</v>
      </c>
      <c r="C243" s="1" t="s">
        <v>493</v>
      </c>
      <c r="D243">
        <v>85</v>
      </c>
      <c r="E243" s="2">
        <v>45787</v>
      </c>
      <c r="F243" s="2">
        <v>45794</v>
      </c>
      <c r="G243" s="1" t="s">
        <v>9</v>
      </c>
      <c r="H243">
        <v>61</v>
      </c>
      <c r="I243" s="19">
        <f>patients[[#This Row],[departure_date]]-patients[[#This Row],[arrival_date]]</f>
        <v>7</v>
      </c>
      <c r="J243" t="str">
        <f>IF(patients[[#This Row],[age]] &lt; 18,"0-17",IF(patients[[#This Row],[age]] &lt; 40,"18-39",IF(patients[[#This Row],[age]] &lt; 65,"40-64","65+")))</f>
        <v>65+</v>
      </c>
      <c r="K243" s="1" t="str">
        <f>TEXT(patients[[#This Row],[arrival_date]],"[$-409]mmmm")</f>
        <v>May</v>
      </c>
      <c r="L243" s="1">
        <f>MATCH(K243, {"January";"February";"March";"April";"May";"June";"July";"August";"September";"October";"November";"December"}, 0)</f>
        <v>5</v>
      </c>
      <c r="M243" s="1" t="str" cm="1">
        <f t="array" ref="M243">IF(patients[[#This Row],[length_of_stay]]&gt;patients!$N$2:$N$2,"Over average","Less than average")</f>
        <v>Less than average</v>
      </c>
    </row>
    <row r="244" spans="2:13" x14ac:dyDescent="0.25">
      <c r="B244" s="1" t="s">
        <v>494</v>
      </c>
      <c r="C244" s="1" t="s">
        <v>495</v>
      </c>
      <c r="D244">
        <v>80</v>
      </c>
      <c r="E244" s="2">
        <v>46011</v>
      </c>
      <c r="F244" s="2">
        <v>46018</v>
      </c>
      <c r="G244" s="1" t="s">
        <v>14</v>
      </c>
      <c r="H244">
        <v>89</v>
      </c>
      <c r="I244" s="19">
        <f>patients[[#This Row],[departure_date]]-patients[[#This Row],[arrival_date]]</f>
        <v>7</v>
      </c>
      <c r="J244" t="str">
        <f>IF(patients[[#This Row],[age]] &lt; 18,"0-17",IF(patients[[#This Row],[age]] &lt; 40,"18-39",IF(patients[[#This Row],[age]] &lt; 65,"40-64","65+")))</f>
        <v>65+</v>
      </c>
      <c r="K244" s="1" t="str">
        <f>TEXT(patients[[#This Row],[arrival_date]],"[$-409]mmmm")</f>
        <v>December</v>
      </c>
      <c r="L244" s="1">
        <f>MATCH(K244, {"January";"February";"March";"April";"May";"June";"July";"August";"September";"October";"November";"December"}, 0)</f>
        <v>12</v>
      </c>
      <c r="M244" s="1" t="str" cm="1">
        <f t="array" ref="M244">IF(patients[[#This Row],[length_of_stay]]&gt;patients!$N$2:$N$2,"Over average","Less than average")</f>
        <v>Less than average</v>
      </c>
    </row>
    <row r="245" spans="2:13" x14ac:dyDescent="0.25">
      <c r="B245" s="1" t="s">
        <v>496</v>
      </c>
      <c r="C245" s="1" t="s">
        <v>497</v>
      </c>
      <c r="D245">
        <v>7</v>
      </c>
      <c r="E245" s="2">
        <v>45957</v>
      </c>
      <c r="F245" s="2">
        <v>45967</v>
      </c>
      <c r="G245" s="1" t="s">
        <v>9</v>
      </c>
      <c r="H245">
        <v>95</v>
      </c>
      <c r="I245" s="19">
        <f>patients[[#This Row],[departure_date]]-patients[[#This Row],[arrival_date]]</f>
        <v>10</v>
      </c>
      <c r="J245" t="str">
        <f>IF(patients[[#This Row],[age]] &lt; 18,"0-17",IF(patients[[#This Row],[age]] &lt; 40,"18-39",IF(patients[[#This Row],[age]] &lt; 65,"40-64","65+")))</f>
        <v>0-17</v>
      </c>
      <c r="K245" s="1" t="str">
        <f>TEXT(patients[[#This Row],[arrival_date]],"[$-409]mmmm")</f>
        <v>October</v>
      </c>
      <c r="L245" s="1">
        <f>MATCH(K245, {"January";"February";"March";"April";"May";"June";"July";"August";"September";"October";"November";"December"}, 0)</f>
        <v>10</v>
      </c>
      <c r="M245" s="1" t="str" cm="1">
        <f t="array" ref="M245">IF(patients[[#This Row],[length_of_stay]]&gt;patients!$N$2:$N$2,"Over average","Less than average")</f>
        <v>Over average</v>
      </c>
    </row>
    <row r="246" spans="2:13" x14ac:dyDescent="0.25">
      <c r="B246" s="1" t="s">
        <v>498</v>
      </c>
      <c r="C246" s="1" t="s">
        <v>499</v>
      </c>
      <c r="D246">
        <v>68</v>
      </c>
      <c r="E246" s="2">
        <v>45944</v>
      </c>
      <c r="F246" s="2">
        <v>45953</v>
      </c>
      <c r="G246" s="1" t="s">
        <v>17</v>
      </c>
      <c r="H246">
        <v>75</v>
      </c>
      <c r="I246" s="19">
        <f>patients[[#This Row],[departure_date]]-patients[[#This Row],[arrival_date]]</f>
        <v>9</v>
      </c>
      <c r="J246" t="str">
        <f>IF(patients[[#This Row],[age]] &lt; 18,"0-17",IF(patients[[#This Row],[age]] &lt; 40,"18-39",IF(patients[[#This Row],[age]] &lt; 65,"40-64","65+")))</f>
        <v>65+</v>
      </c>
      <c r="K246" s="1" t="str">
        <f>TEXT(patients[[#This Row],[arrival_date]],"[$-409]mmmm")</f>
        <v>October</v>
      </c>
      <c r="L246" s="1">
        <f>MATCH(K246, {"January";"February";"March";"April";"May";"June";"July";"August";"September";"October";"November";"December"}, 0)</f>
        <v>10</v>
      </c>
      <c r="M246" s="1" t="str" cm="1">
        <f t="array" ref="M246">IF(patients[[#This Row],[length_of_stay]]&gt;patients!$N$2:$N$2,"Over average","Less than average")</f>
        <v>Over average</v>
      </c>
    </row>
    <row r="247" spans="2:13" x14ac:dyDescent="0.25">
      <c r="B247" s="1" t="s">
        <v>500</v>
      </c>
      <c r="C247" s="1" t="s">
        <v>501</v>
      </c>
      <c r="D247">
        <v>61</v>
      </c>
      <c r="E247" s="2">
        <v>45778</v>
      </c>
      <c r="F247" s="2">
        <v>45785</v>
      </c>
      <c r="G247" s="1" t="s">
        <v>9</v>
      </c>
      <c r="H247">
        <v>75</v>
      </c>
      <c r="I247" s="19">
        <f>patients[[#This Row],[departure_date]]-patients[[#This Row],[arrival_date]]</f>
        <v>7</v>
      </c>
      <c r="J247" t="str">
        <f>IF(patients[[#This Row],[age]] &lt; 18,"0-17",IF(patients[[#This Row],[age]] &lt; 40,"18-39",IF(patients[[#This Row],[age]] &lt; 65,"40-64","65+")))</f>
        <v>40-64</v>
      </c>
      <c r="K247" s="1" t="str">
        <f>TEXT(patients[[#This Row],[arrival_date]],"[$-409]mmmm")</f>
        <v>May</v>
      </c>
      <c r="L247" s="1">
        <f>MATCH(K247, {"January";"February";"March";"April";"May";"June";"July";"August";"September";"October";"November";"December"}, 0)</f>
        <v>5</v>
      </c>
      <c r="M247" s="1" t="str" cm="1">
        <f t="array" ref="M247">IF(patients[[#This Row],[length_of_stay]]&gt;patients!$N$2:$N$2,"Over average","Less than average")</f>
        <v>Less than average</v>
      </c>
    </row>
    <row r="248" spans="2:13" x14ac:dyDescent="0.25">
      <c r="B248" s="1" t="s">
        <v>502</v>
      </c>
      <c r="C248" s="1" t="s">
        <v>503</v>
      </c>
      <c r="D248">
        <v>11</v>
      </c>
      <c r="E248" s="2">
        <v>45793</v>
      </c>
      <c r="F248" s="2">
        <v>45797</v>
      </c>
      <c r="G248" s="1" t="s">
        <v>17</v>
      </c>
      <c r="H248">
        <v>62</v>
      </c>
      <c r="I248" s="19">
        <f>patients[[#This Row],[departure_date]]-patients[[#This Row],[arrival_date]]</f>
        <v>4</v>
      </c>
      <c r="J248" t="str">
        <f>IF(patients[[#This Row],[age]] &lt; 18,"0-17",IF(patients[[#This Row],[age]] &lt; 40,"18-39",IF(patients[[#This Row],[age]] &lt; 65,"40-64","65+")))</f>
        <v>0-17</v>
      </c>
      <c r="K248" s="1" t="str">
        <f>TEXT(patients[[#This Row],[arrival_date]],"[$-409]mmmm")</f>
        <v>May</v>
      </c>
      <c r="L248" s="1">
        <f>MATCH(K248, {"January";"February";"March";"April";"May";"June";"July";"August";"September";"October";"November";"December"}, 0)</f>
        <v>5</v>
      </c>
      <c r="M248" s="1" t="str" cm="1">
        <f t="array" ref="M248">IF(patients[[#This Row],[length_of_stay]]&gt;patients!$N$2:$N$2,"Over average","Less than average")</f>
        <v>Less than average</v>
      </c>
    </row>
    <row r="249" spans="2:13" x14ac:dyDescent="0.25">
      <c r="B249" s="1" t="s">
        <v>504</v>
      </c>
      <c r="C249" s="1" t="s">
        <v>505</v>
      </c>
      <c r="D249">
        <v>15</v>
      </c>
      <c r="E249" s="2">
        <v>45894</v>
      </c>
      <c r="F249" s="2">
        <v>45901</v>
      </c>
      <c r="G249" s="1" t="s">
        <v>9</v>
      </c>
      <c r="H249">
        <v>87</v>
      </c>
      <c r="I249" s="19">
        <f>patients[[#This Row],[departure_date]]-patients[[#This Row],[arrival_date]]</f>
        <v>7</v>
      </c>
      <c r="J249" t="str">
        <f>IF(patients[[#This Row],[age]] &lt; 18,"0-17",IF(patients[[#This Row],[age]] &lt; 40,"18-39",IF(patients[[#This Row],[age]] &lt; 65,"40-64","65+")))</f>
        <v>0-17</v>
      </c>
      <c r="K249" s="1" t="str">
        <f>TEXT(patients[[#This Row],[arrival_date]],"[$-409]mmmm")</f>
        <v>August</v>
      </c>
      <c r="L249" s="1">
        <f>MATCH(K249, {"January";"February";"March";"April";"May";"June";"July";"August";"September";"October";"November";"December"}, 0)</f>
        <v>8</v>
      </c>
      <c r="M249" s="1" t="str" cm="1">
        <f t="array" ref="M249">IF(patients[[#This Row],[length_of_stay]]&gt;patients!$N$2:$N$2,"Over average","Less than average")</f>
        <v>Less than average</v>
      </c>
    </row>
    <row r="250" spans="2:13" x14ac:dyDescent="0.25">
      <c r="B250" s="1" t="s">
        <v>506</v>
      </c>
      <c r="C250" s="1" t="s">
        <v>507</v>
      </c>
      <c r="D250">
        <v>4</v>
      </c>
      <c r="E250" s="2">
        <v>46017</v>
      </c>
      <c r="F250" s="2">
        <v>46025</v>
      </c>
      <c r="G250" s="1" t="s">
        <v>20</v>
      </c>
      <c r="H250">
        <v>60</v>
      </c>
      <c r="I250" s="19">
        <f>patients[[#This Row],[departure_date]]-patients[[#This Row],[arrival_date]]</f>
        <v>8</v>
      </c>
      <c r="J250" t="str">
        <f>IF(patients[[#This Row],[age]] &lt; 18,"0-17",IF(patients[[#This Row],[age]] &lt; 40,"18-39",IF(patients[[#This Row],[age]] &lt; 65,"40-64","65+")))</f>
        <v>0-17</v>
      </c>
      <c r="K250" s="1" t="str">
        <f>TEXT(patients[[#This Row],[arrival_date]],"[$-409]mmmm")</f>
        <v>December</v>
      </c>
      <c r="L250" s="1">
        <f>MATCH(K250, {"January";"February";"March";"April";"May";"June";"July";"August";"September";"October";"November";"December"}, 0)</f>
        <v>12</v>
      </c>
      <c r="M250" s="1" t="str" cm="1">
        <f t="array" ref="M250">IF(patients[[#This Row],[length_of_stay]]&gt;patients!$N$2:$N$2,"Over average","Less than average")</f>
        <v>Over average</v>
      </c>
    </row>
    <row r="251" spans="2:13" x14ac:dyDescent="0.25">
      <c r="B251" s="1" t="s">
        <v>508</v>
      </c>
      <c r="C251" s="1" t="s">
        <v>509</v>
      </c>
      <c r="D251">
        <v>29</v>
      </c>
      <c r="E251" s="2">
        <v>45741</v>
      </c>
      <c r="F251" s="2">
        <v>45747</v>
      </c>
      <c r="G251" s="1" t="s">
        <v>17</v>
      </c>
      <c r="H251">
        <v>81</v>
      </c>
      <c r="I251" s="19">
        <f>patients[[#This Row],[departure_date]]-patients[[#This Row],[arrival_date]]</f>
        <v>6</v>
      </c>
      <c r="J251" t="str">
        <f>IF(patients[[#This Row],[age]] &lt; 18,"0-17",IF(patients[[#This Row],[age]] &lt; 40,"18-39",IF(patients[[#This Row],[age]] &lt; 65,"40-64","65+")))</f>
        <v>18-39</v>
      </c>
      <c r="K251" s="1" t="str">
        <f>TEXT(patients[[#This Row],[arrival_date]],"[$-409]mmmm")</f>
        <v>March</v>
      </c>
      <c r="L251" s="1">
        <f>MATCH(K251, {"January";"February";"March";"April";"May";"June";"July";"August";"September";"October";"November";"December"}, 0)</f>
        <v>3</v>
      </c>
      <c r="M251" s="1" t="str" cm="1">
        <f t="array" ref="M251">IF(patients[[#This Row],[length_of_stay]]&gt;patients!$N$2:$N$2,"Over average","Less than average")</f>
        <v>Less than average</v>
      </c>
    </row>
    <row r="252" spans="2:13" x14ac:dyDescent="0.25">
      <c r="B252" s="1" t="s">
        <v>510</v>
      </c>
      <c r="C252" s="1" t="s">
        <v>511</v>
      </c>
      <c r="D252">
        <v>81</v>
      </c>
      <c r="E252" s="2">
        <v>45888</v>
      </c>
      <c r="F252" s="2">
        <v>45889</v>
      </c>
      <c r="G252" s="1" t="s">
        <v>20</v>
      </c>
      <c r="H252">
        <v>75</v>
      </c>
      <c r="I252" s="19">
        <f>patients[[#This Row],[departure_date]]-patients[[#This Row],[arrival_date]]</f>
        <v>1</v>
      </c>
      <c r="J252" t="str">
        <f>IF(patients[[#This Row],[age]] &lt; 18,"0-17",IF(patients[[#This Row],[age]] &lt; 40,"18-39",IF(patients[[#This Row],[age]] &lt; 65,"40-64","65+")))</f>
        <v>65+</v>
      </c>
      <c r="K252" s="1" t="str">
        <f>TEXT(patients[[#This Row],[arrival_date]],"[$-409]mmmm")</f>
        <v>August</v>
      </c>
      <c r="L252" s="1">
        <f>MATCH(K252, {"January";"February";"March";"April";"May";"June";"July";"August";"September";"October";"November";"December"}, 0)</f>
        <v>8</v>
      </c>
      <c r="M252" s="1" t="str" cm="1">
        <f t="array" ref="M252">IF(patients[[#This Row],[length_of_stay]]&gt;patients!$N$2:$N$2,"Over average","Less than average")</f>
        <v>Less than average</v>
      </c>
    </row>
    <row r="253" spans="2:13" x14ac:dyDescent="0.25">
      <c r="B253" s="1" t="s">
        <v>512</v>
      </c>
      <c r="C253" s="1" t="s">
        <v>513</v>
      </c>
      <c r="D253">
        <v>75</v>
      </c>
      <c r="E253" s="2">
        <v>45883</v>
      </c>
      <c r="F253" s="2">
        <v>45896</v>
      </c>
      <c r="G253" s="1" t="s">
        <v>9</v>
      </c>
      <c r="H253">
        <v>73</v>
      </c>
      <c r="I253" s="19">
        <f>patients[[#This Row],[departure_date]]-patients[[#This Row],[arrival_date]]</f>
        <v>13</v>
      </c>
      <c r="J253" t="str">
        <f>IF(patients[[#This Row],[age]] &lt; 18,"0-17",IF(patients[[#This Row],[age]] &lt; 40,"18-39",IF(patients[[#This Row],[age]] &lt; 65,"40-64","65+")))</f>
        <v>65+</v>
      </c>
      <c r="K253" s="1" t="str">
        <f>TEXT(patients[[#This Row],[arrival_date]],"[$-409]mmmm")</f>
        <v>August</v>
      </c>
      <c r="L253" s="1">
        <f>MATCH(K253, {"January";"February";"March";"April";"May";"June";"July";"August";"September";"October";"November";"December"}, 0)</f>
        <v>8</v>
      </c>
      <c r="M253" s="1" t="str" cm="1">
        <f t="array" ref="M253">IF(patients[[#This Row],[length_of_stay]]&gt;patients!$N$2:$N$2,"Over average","Less than average")</f>
        <v>Over average</v>
      </c>
    </row>
    <row r="254" spans="2:13" x14ac:dyDescent="0.25">
      <c r="B254" s="1" t="s">
        <v>514</v>
      </c>
      <c r="C254" s="1" t="s">
        <v>515</v>
      </c>
      <c r="D254">
        <v>35</v>
      </c>
      <c r="E254" s="2">
        <v>45808</v>
      </c>
      <c r="F254" s="2">
        <v>45810</v>
      </c>
      <c r="G254" s="1" t="s">
        <v>17</v>
      </c>
      <c r="H254">
        <v>61</v>
      </c>
      <c r="I254" s="19">
        <f>patients[[#This Row],[departure_date]]-patients[[#This Row],[arrival_date]]</f>
        <v>2</v>
      </c>
      <c r="J254" t="str">
        <f>IF(patients[[#This Row],[age]] &lt; 18,"0-17",IF(patients[[#This Row],[age]] &lt; 40,"18-39",IF(patients[[#This Row],[age]] &lt; 65,"40-64","65+")))</f>
        <v>18-39</v>
      </c>
      <c r="K254" s="1" t="str">
        <f>TEXT(patients[[#This Row],[arrival_date]],"[$-409]mmmm")</f>
        <v>May</v>
      </c>
      <c r="L254" s="1">
        <f>MATCH(K254, {"January";"February";"March";"April";"May";"June";"July";"August";"September";"October";"November";"December"}, 0)</f>
        <v>5</v>
      </c>
      <c r="M254" s="1" t="str" cm="1">
        <f t="array" ref="M254">IF(patients[[#This Row],[length_of_stay]]&gt;patients!$N$2:$N$2,"Over average","Less than average")</f>
        <v>Less than average</v>
      </c>
    </row>
    <row r="255" spans="2:13" x14ac:dyDescent="0.25">
      <c r="B255" s="1" t="s">
        <v>516</v>
      </c>
      <c r="C255" s="1" t="s">
        <v>517</v>
      </c>
      <c r="D255">
        <v>84</v>
      </c>
      <c r="E255" s="2">
        <v>45906</v>
      </c>
      <c r="F255" s="2">
        <v>45915</v>
      </c>
      <c r="G255" s="1" t="s">
        <v>9</v>
      </c>
      <c r="H255">
        <v>60</v>
      </c>
      <c r="I255" s="19">
        <f>patients[[#This Row],[departure_date]]-patients[[#This Row],[arrival_date]]</f>
        <v>9</v>
      </c>
      <c r="J255" t="str">
        <f>IF(patients[[#This Row],[age]] &lt; 18,"0-17",IF(patients[[#This Row],[age]] &lt; 40,"18-39",IF(patients[[#This Row],[age]] &lt; 65,"40-64","65+")))</f>
        <v>65+</v>
      </c>
      <c r="K255" s="1" t="str">
        <f>TEXT(patients[[#This Row],[arrival_date]],"[$-409]mmmm")</f>
        <v>September</v>
      </c>
      <c r="L255" s="1">
        <f>MATCH(K255, {"January";"February";"March";"April";"May";"June";"July";"August";"September";"October";"November";"December"}, 0)</f>
        <v>9</v>
      </c>
      <c r="M255" s="1" t="str" cm="1">
        <f t="array" ref="M255">IF(patients[[#This Row],[length_of_stay]]&gt;patients!$N$2:$N$2,"Over average","Less than average")</f>
        <v>Over average</v>
      </c>
    </row>
    <row r="256" spans="2:13" x14ac:dyDescent="0.25">
      <c r="B256" s="1" t="s">
        <v>518</v>
      </c>
      <c r="C256" s="1" t="s">
        <v>519</v>
      </c>
      <c r="D256">
        <v>74</v>
      </c>
      <c r="E256" s="2">
        <v>45837</v>
      </c>
      <c r="F256" s="2">
        <v>45851</v>
      </c>
      <c r="G256" s="1" t="s">
        <v>14</v>
      </c>
      <c r="H256">
        <v>82</v>
      </c>
      <c r="I256" s="19">
        <f>patients[[#This Row],[departure_date]]-patients[[#This Row],[arrival_date]]</f>
        <v>14</v>
      </c>
      <c r="J256" t="str">
        <f>IF(patients[[#This Row],[age]] &lt; 18,"0-17",IF(patients[[#This Row],[age]] &lt; 40,"18-39",IF(patients[[#This Row],[age]] &lt; 65,"40-64","65+")))</f>
        <v>65+</v>
      </c>
      <c r="K256" s="1" t="str">
        <f>TEXT(patients[[#This Row],[arrival_date]],"[$-409]mmmm")</f>
        <v>June</v>
      </c>
      <c r="L256" s="1">
        <f>MATCH(K256, {"January";"February";"March";"April";"May";"June";"July";"August";"September";"October";"November";"December"}, 0)</f>
        <v>6</v>
      </c>
      <c r="M256" s="1" t="str" cm="1">
        <f t="array" ref="M256">IF(patients[[#This Row],[length_of_stay]]&gt;patients!$N$2:$N$2,"Over average","Less than average")</f>
        <v>Over average</v>
      </c>
    </row>
    <row r="257" spans="2:13" x14ac:dyDescent="0.25">
      <c r="B257" s="1" t="s">
        <v>520</v>
      </c>
      <c r="C257" s="1" t="s">
        <v>521</v>
      </c>
      <c r="D257">
        <v>25</v>
      </c>
      <c r="E257" s="2">
        <v>45968</v>
      </c>
      <c r="F257" s="2">
        <v>45974</v>
      </c>
      <c r="G257" s="1" t="s">
        <v>20</v>
      </c>
      <c r="H257">
        <v>94</v>
      </c>
      <c r="I257" s="19">
        <f>patients[[#This Row],[departure_date]]-patients[[#This Row],[arrival_date]]</f>
        <v>6</v>
      </c>
      <c r="J257" t="str">
        <f>IF(patients[[#This Row],[age]] &lt; 18,"0-17",IF(patients[[#This Row],[age]] &lt; 40,"18-39",IF(patients[[#This Row],[age]] &lt; 65,"40-64","65+")))</f>
        <v>18-39</v>
      </c>
      <c r="K257" s="1" t="str">
        <f>TEXT(patients[[#This Row],[arrival_date]],"[$-409]mmmm")</f>
        <v>November</v>
      </c>
      <c r="L257" s="1">
        <f>MATCH(K257, {"January";"February";"March";"April";"May";"June";"July";"August";"September";"October";"November";"December"}, 0)</f>
        <v>11</v>
      </c>
      <c r="M257" s="1" t="str" cm="1">
        <f t="array" ref="M257">IF(patients[[#This Row],[length_of_stay]]&gt;patients!$N$2:$N$2,"Over average","Less than average")</f>
        <v>Less than average</v>
      </c>
    </row>
    <row r="258" spans="2:13" x14ac:dyDescent="0.25">
      <c r="B258" s="1" t="s">
        <v>522</v>
      </c>
      <c r="C258" s="1" t="s">
        <v>523</v>
      </c>
      <c r="D258">
        <v>21</v>
      </c>
      <c r="E258" s="2">
        <v>45800</v>
      </c>
      <c r="F258" s="2">
        <v>45806</v>
      </c>
      <c r="G258" s="1" t="s">
        <v>14</v>
      </c>
      <c r="H258">
        <v>96</v>
      </c>
      <c r="I258" s="19">
        <f>patients[[#This Row],[departure_date]]-patients[[#This Row],[arrival_date]]</f>
        <v>6</v>
      </c>
      <c r="J258" t="str">
        <f>IF(patients[[#This Row],[age]] &lt; 18,"0-17",IF(patients[[#This Row],[age]] &lt; 40,"18-39",IF(patients[[#This Row],[age]] &lt; 65,"40-64","65+")))</f>
        <v>18-39</v>
      </c>
      <c r="K258" s="1" t="str">
        <f>TEXT(patients[[#This Row],[arrival_date]],"[$-409]mmmm")</f>
        <v>May</v>
      </c>
      <c r="L258" s="1">
        <f>MATCH(K258, {"January";"February";"March";"April";"May";"June";"July";"August";"September";"October";"November";"December"}, 0)</f>
        <v>5</v>
      </c>
      <c r="M258" s="1" t="str" cm="1">
        <f t="array" ref="M258">IF(patients[[#This Row],[length_of_stay]]&gt;patients!$N$2:$N$2,"Over average","Less than average")</f>
        <v>Less than average</v>
      </c>
    </row>
    <row r="259" spans="2:13" x14ac:dyDescent="0.25">
      <c r="B259" s="1" t="s">
        <v>524</v>
      </c>
      <c r="C259" s="1" t="s">
        <v>525</v>
      </c>
      <c r="D259">
        <v>11</v>
      </c>
      <c r="E259" s="2">
        <v>45706</v>
      </c>
      <c r="F259" s="2">
        <v>45716</v>
      </c>
      <c r="G259" s="1" t="s">
        <v>14</v>
      </c>
      <c r="H259">
        <v>97</v>
      </c>
      <c r="I259" s="19">
        <f>patients[[#This Row],[departure_date]]-patients[[#This Row],[arrival_date]]</f>
        <v>10</v>
      </c>
      <c r="J259" t="str">
        <f>IF(patients[[#This Row],[age]] &lt; 18,"0-17",IF(patients[[#This Row],[age]] &lt; 40,"18-39",IF(patients[[#This Row],[age]] &lt; 65,"40-64","65+")))</f>
        <v>0-17</v>
      </c>
      <c r="K259" s="1" t="str">
        <f>TEXT(patients[[#This Row],[arrival_date]],"[$-409]mmmm")</f>
        <v>February</v>
      </c>
      <c r="L259" s="1">
        <f>MATCH(K259, {"January";"February";"March";"April";"May";"June";"July";"August";"September";"October";"November";"December"}, 0)</f>
        <v>2</v>
      </c>
      <c r="M259" s="1" t="str" cm="1">
        <f t="array" ref="M259">IF(patients[[#This Row],[length_of_stay]]&gt;patients!$N$2:$N$2,"Over average","Less than average")</f>
        <v>Over average</v>
      </c>
    </row>
    <row r="260" spans="2:13" x14ac:dyDescent="0.25">
      <c r="B260" s="1" t="s">
        <v>526</v>
      </c>
      <c r="C260" s="1" t="s">
        <v>527</v>
      </c>
      <c r="D260">
        <v>81</v>
      </c>
      <c r="E260" s="2">
        <v>45948</v>
      </c>
      <c r="F260" s="2">
        <v>45962</v>
      </c>
      <c r="G260" s="1" t="s">
        <v>17</v>
      </c>
      <c r="H260">
        <v>83</v>
      </c>
      <c r="I260" s="19">
        <f>patients[[#This Row],[departure_date]]-patients[[#This Row],[arrival_date]]</f>
        <v>14</v>
      </c>
      <c r="J260" t="str">
        <f>IF(patients[[#This Row],[age]] &lt; 18,"0-17",IF(patients[[#This Row],[age]] &lt; 40,"18-39",IF(patients[[#This Row],[age]] &lt; 65,"40-64","65+")))</f>
        <v>65+</v>
      </c>
      <c r="K260" s="1" t="str">
        <f>TEXT(patients[[#This Row],[arrival_date]],"[$-409]mmmm")</f>
        <v>October</v>
      </c>
      <c r="L260" s="1">
        <f>MATCH(K260, {"January";"February";"March";"April";"May";"June";"July";"August";"September";"October";"November";"December"}, 0)</f>
        <v>10</v>
      </c>
      <c r="M260" s="1" t="str" cm="1">
        <f t="array" ref="M260">IF(patients[[#This Row],[length_of_stay]]&gt;patients!$N$2:$N$2,"Over average","Less than average")</f>
        <v>Over average</v>
      </c>
    </row>
    <row r="261" spans="2:13" x14ac:dyDescent="0.25">
      <c r="B261" s="1" t="s">
        <v>528</v>
      </c>
      <c r="C261" s="1" t="s">
        <v>529</v>
      </c>
      <c r="D261">
        <v>29</v>
      </c>
      <c r="E261" s="2">
        <v>45791</v>
      </c>
      <c r="F261" s="2">
        <v>45794</v>
      </c>
      <c r="G261" s="1" t="s">
        <v>9</v>
      </c>
      <c r="H261">
        <v>75</v>
      </c>
      <c r="I261" s="19">
        <f>patients[[#This Row],[departure_date]]-patients[[#This Row],[arrival_date]]</f>
        <v>3</v>
      </c>
      <c r="J261" t="str">
        <f>IF(patients[[#This Row],[age]] &lt; 18,"0-17",IF(patients[[#This Row],[age]] &lt; 40,"18-39",IF(patients[[#This Row],[age]] &lt; 65,"40-64","65+")))</f>
        <v>18-39</v>
      </c>
      <c r="K261" s="1" t="str">
        <f>TEXT(patients[[#This Row],[arrival_date]],"[$-409]mmmm")</f>
        <v>May</v>
      </c>
      <c r="L261" s="1">
        <f>MATCH(K261, {"January";"February";"March";"April";"May";"June";"July";"August";"September";"October";"November";"December"}, 0)</f>
        <v>5</v>
      </c>
      <c r="M261" s="1" t="str" cm="1">
        <f t="array" ref="M261">IF(patients[[#This Row],[length_of_stay]]&gt;patients!$N$2:$N$2,"Over average","Less than average")</f>
        <v>Less than average</v>
      </c>
    </row>
    <row r="262" spans="2:13" x14ac:dyDescent="0.25">
      <c r="B262" s="1" t="s">
        <v>530</v>
      </c>
      <c r="C262" s="1" t="s">
        <v>531</v>
      </c>
      <c r="D262">
        <v>6</v>
      </c>
      <c r="E262" s="2">
        <v>45671</v>
      </c>
      <c r="F262" s="2">
        <v>45680</v>
      </c>
      <c r="G262" s="1" t="s">
        <v>20</v>
      </c>
      <c r="H262">
        <v>74</v>
      </c>
      <c r="I262" s="19">
        <f>patients[[#This Row],[departure_date]]-patients[[#This Row],[arrival_date]]</f>
        <v>9</v>
      </c>
      <c r="J262" t="str">
        <f>IF(patients[[#This Row],[age]] &lt; 18,"0-17",IF(patients[[#This Row],[age]] &lt; 40,"18-39",IF(patients[[#This Row],[age]] &lt; 65,"40-64","65+")))</f>
        <v>0-17</v>
      </c>
      <c r="K262" s="1" t="str">
        <f>TEXT(patients[[#This Row],[arrival_date]],"[$-409]mmmm")</f>
        <v>January</v>
      </c>
      <c r="L262" s="1">
        <f>MATCH(K262, {"January";"February";"March";"April";"May";"June";"July";"August";"September";"October";"November";"December"}, 0)</f>
        <v>1</v>
      </c>
      <c r="M262" s="1" t="str" cm="1">
        <f t="array" ref="M262">IF(patients[[#This Row],[length_of_stay]]&gt;patients!$N$2:$N$2,"Over average","Less than average")</f>
        <v>Over average</v>
      </c>
    </row>
    <row r="263" spans="2:13" x14ac:dyDescent="0.25">
      <c r="B263" s="1" t="s">
        <v>532</v>
      </c>
      <c r="C263" s="1" t="s">
        <v>533</v>
      </c>
      <c r="D263">
        <v>20</v>
      </c>
      <c r="E263" s="2">
        <v>45723</v>
      </c>
      <c r="F263" s="2">
        <v>45734</v>
      </c>
      <c r="G263" s="1" t="s">
        <v>14</v>
      </c>
      <c r="H263">
        <v>61</v>
      </c>
      <c r="I263" s="19">
        <f>patients[[#This Row],[departure_date]]-patients[[#This Row],[arrival_date]]</f>
        <v>11</v>
      </c>
      <c r="J263" t="str">
        <f>IF(patients[[#This Row],[age]] &lt; 18,"0-17",IF(patients[[#This Row],[age]] &lt; 40,"18-39",IF(patients[[#This Row],[age]] &lt; 65,"40-64","65+")))</f>
        <v>18-39</v>
      </c>
      <c r="K263" s="1" t="str">
        <f>TEXT(patients[[#This Row],[arrival_date]],"[$-409]mmmm")</f>
        <v>March</v>
      </c>
      <c r="L263" s="1">
        <f>MATCH(K263, {"January";"February";"March";"April";"May";"June";"July";"August";"September";"October";"November";"December"}, 0)</f>
        <v>3</v>
      </c>
      <c r="M263" s="1" t="str" cm="1">
        <f t="array" ref="M263">IF(patients[[#This Row],[length_of_stay]]&gt;patients!$N$2:$N$2,"Over average","Less than average")</f>
        <v>Over average</v>
      </c>
    </row>
    <row r="264" spans="2:13" x14ac:dyDescent="0.25">
      <c r="B264" s="1" t="s">
        <v>534</v>
      </c>
      <c r="C264" s="1" t="s">
        <v>535</v>
      </c>
      <c r="D264">
        <v>34</v>
      </c>
      <c r="E264" s="2">
        <v>45863</v>
      </c>
      <c r="F264" s="2">
        <v>45867</v>
      </c>
      <c r="G264" s="1" t="s">
        <v>9</v>
      </c>
      <c r="H264">
        <v>77</v>
      </c>
      <c r="I264" s="19">
        <f>patients[[#This Row],[departure_date]]-patients[[#This Row],[arrival_date]]</f>
        <v>4</v>
      </c>
      <c r="J264" t="str">
        <f>IF(patients[[#This Row],[age]] &lt; 18,"0-17",IF(patients[[#This Row],[age]] &lt; 40,"18-39",IF(patients[[#This Row],[age]] &lt; 65,"40-64","65+")))</f>
        <v>18-39</v>
      </c>
      <c r="K264" s="1" t="str">
        <f>TEXT(patients[[#This Row],[arrival_date]],"[$-409]mmmm")</f>
        <v>July</v>
      </c>
      <c r="L264" s="1">
        <f>MATCH(K264, {"January";"February";"March";"April";"May";"June";"July";"August";"September";"October";"November";"December"}, 0)</f>
        <v>7</v>
      </c>
      <c r="M264" s="1" t="str" cm="1">
        <f t="array" ref="M264">IF(patients[[#This Row],[length_of_stay]]&gt;patients!$N$2:$N$2,"Over average","Less than average")</f>
        <v>Less than average</v>
      </c>
    </row>
    <row r="265" spans="2:13" x14ac:dyDescent="0.25">
      <c r="B265" s="1" t="s">
        <v>536</v>
      </c>
      <c r="C265" s="1" t="s">
        <v>537</v>
      </c>
      <c r="D265">
        <v>9</v>
      </c>
      <c r="E265" s="2">
        <v>45938</v>
      </c>
      <c r="F265" s="2">
        <v>45951</v>
      </c>
      <c r="G265" s="1" t="s">
        <v>17</v>
      </c>
      <c r="H265">
        <v>92</v>
      </c>
      <c r="I265" s="19">
        <f>patients[[#This Row],[departure_date]]-patients[[#This Row],[arrival_date]]</f>
        <v>13</v>
      </c>
      <c r="J265" t="str">
        <f>IF(patients[[#This Row],[age]] &lt; 18,"0-17",IF(patients[[#This Row],[age]] &lt; 40,"18-39",IF(patients[[#This Row],[age]] &lt; 65,"40-64","65+")))</f>
        <v>0-17</v>
      </c>
      <c r="K265" s="1" t="str">
        <f>TEXT(patients[[#This Row],[arrival_date]],"[$-409]mmmm")</f>
        <v>October</v>
      </c>
      <c r="L265" s="1">
        <f>MATCH(K265, {"January";"February";"March";"April";"May";"June";"July";"August";"September";"October";"November";"December"}, 0)</f>
        <v>10</v>
      </c>
      <c r="M265" s="1" t="str" cm="1">
        <f t="array" ref="M265">IF(patients[[#This Row],[length_of_stay]]&gt;patients!$N$2:$N$2,"Over average","Less than average")</f>
        <v>Over average</v>
      </c>
    </row>
    <row r="266" spans="2:13" x14ac:dyDescent="0.25">
      <c r="B266" s="1" t="s">
        <v>538</v>
      </c>
      <c r="C266" s="1" t="s">
        <v>539</v>
      </c>
      <c r="D266">
        <v>35</v>
      </c>
      <c r="E266" s="2">
        <v>45927</v>
      </c>
      <c r="F266" s="2">
        <v>45928</v>
      </c>
      <c r="G266" s="1" t="s">
        <v>14</v>
      </c>
      <c r="H266">
        <v>75</v>
      </c>
      <c r="I266" s="19">
        <f>patients[[#This Row],[departure_date]]-patients[[#This Row],[arrival_date]]</f>
        <v>1</v>
      </c>
      <c r="J266" t="str">
        <f>IF(patients[[#This Row],[age]] &lt; 18,"0-17",IF(patients[[#This Row],[age]] &lt; 40,"18-39",IF(patients[[#This Row],[age]] &lt; 65,"40-64","65+")))</f>
        <v>18-39</v>
      </c>
      <c r="K266" s="1" t="str">
        <f>TEXT(patients[[#This Row],[arrival_date]],"[$-409]mmmm")</f>
        <v>September</v>
      </c>
      <c r="L266" s="1">
        <f>MATCH(K266, {"January";"February";"March";"April";"May";"June";"July";"August";"September";"October";"November";"December"}, 0)</f>
        <v>9</v>
      </c>
      <c r="M266" s="1" t="str" cm="1">
        <f t="array" ref="M266">IF(patients[[#This Row],[length_of_stay]]&gt;patients!$N$2:$N$2,"Over average","Less than average")</f>
        <v>Less than average</v>
      </c>
    </row>
    <row r="267" spans="2:13" x14ac:dyDescent="0.25">
      <c r="B267" s="1" t="s">
        <v>540</v>
      </c>
      <c r="C267" s="1" t="s">
        <v>541</v>
      </c>
      <c r="D267">
        <v>53</v>
      </c>
      <c r="E267" s="2">
        <v>45682</v>
      </c>
      <c r="F267" s="2">
        <v>45695</v>
      </c>
      <c r="G267" s="1" t="s">
        <v>9</v>
      </c>
      <c r="H267">
        <v>93</v>
      </c>
      <c r="I267" s="19">
        <f>patients[[#This Row],[departure_date]]-patients[[#This Row],[arrival_date]]</f>
        <v>13</v>
      </c>
      <c r="J267" t="str">
        <f>IF(patients[[#This Row],[age]] &lt; 18,"0-17",IF(patients[[#This Row],[age]] &lt; 40,"18-39",IF(patients[[#This Row],[age]] &lt; 65,"40-64","65+")))</f>
        <v>40-64</v>
      </c>
      <c r="K267" s="1" t="str">
        <f>TEXT(patients[[#This Row],[arrival_date]],"[$-409]mmmm")</f>
        <v>January</v>
      </c>
      <c r="L267" s="1">
        <f>MATCH(K267, {"January";"February";"March";"April";"May";"June";"July";"August";"September";"October";"November";"December"}, 0)</f>
        <v>1</v>
      </c>
      <c r="M267" s="1" t="str" cm="1">
        <f t="array" ref="M267">IF(patients[[#This Row],[length_of_stay]]&gt;patients!$N$2:$N$2,"Over average","Less than average")</f>
        <v>Over average</v>
      </c>
    </row>
    <row r="268" spans="2:13" x14ac:dyDescent="0.25">
      <c r="B268" s="1" t="s">
        <v>542</v>
      </c>
      <c r="C268" s="1" t="s">
        <v>543</v>
      </c>
      <c r="D268">
        <v>7</v>
      </c>
      <c r="E268" s="2">
        <v>45682</v>
      </c>
      <c r="F268" s="2">
        <v>45686</v>
      </c>
      <c r="G268" s="1" t="s">
        <v>17</v>
      </c>
      <c r="H268">
        <v>71</v>
      </c>
      <c r="I268" s="19">
        <f>patients[[#This Row],[departure_date]]-patients[[#This Row],[arrival_date]]</f>
        <v>4</v>
      </c>
      <c r="J268" t="str">
        <f>IF(patients[[#This Row],[age]] &lt; 18,"0-17",IF(patients[[#This Row],[age]] &lt; 40,"18-39",IF(patients[[#This Row],[age]] &lt; 65,"40-64","65+")))</f>
        <v>0-17</v>
      </c>
      <c r="K268" s="1" t="str">
        <f>TEXT(patients[[#This Row],[arrival_date]],"[$-409]mmmm")</f>
        <v>January</v>
      </c>
      <c r="L268" s="1">
        <f>MATCH(K268, {"January";"February";"March";"April";"May";"June";"July";"August";"September";"October";"November";"December"}, 0)</f>
        <v>1</v>
      </c>
      <c r="M268" s="1" t="str" cm="1">
        <f t="array" ref="M268">IF(patients[[#This Row],[length_of_stay]]&gt;patients!$N$2:$N$2,"Over average","Less than average")</f>
        <v>Less than average</v>
      </c>
    </row>
    <row r="269" spans="2:13" x14ac:dyDescent="0.25">
      <c r="B269" s="1" t="s">
        <v>544</v>
      </c>
      <c r="C269" s="1" t="s">
        <v>545</v>
      </c>
      <c r="D269">
        <v>31</v>
      </c>
      <c r="E269" s="2">
        <v>45753</v>
      </c>
      <c r="F269" s="2">
        <v>45765</v>
      </c>
      <c r="G269" s="1" t="s">
        <v>20</v>
      </c>
      <c r="H269">
        <v>72</v>
      </c>
      <c r="I269" s="19">
        <f>patients[[#This Row],[departure_date]]-patients[[#This Row],[arrival_date]]</f>
        <v>12</v>
      </c>
      <c r="J269" t="str">
        <f>IF(patients[[#This Row],[age]] &lt; 18,"0-17",IF(patients[[#This Row],[age]] &lt; 40,"18-39",IF(patients[[#This Row],[age]] &lt; 65,"40-64","65+")))</f>
        <v>18-39</v>
      </c>
      <c r="K269" s="1" t="str">
        <f>TEXT(patients[[#This Row],[arrival_date]],"[$-409]mmmm")</f>
        <v>April</v>
      </c>
      <c r="L269" s="1">
        <f>MATCH(K269, {"January";"February";"March";"April";"May";"June";"July";"August";"September";"October";"November";"December"}, 0)</f>
        <v>4</v>
      </c>
      <c r="M269" s="1" t="str" cm="1">
        <f t="array" ref="M269">IF(patients[[#This Row],[length_of_stay]]&gt;patients!$N$2:$N$2,"Over average","Less than average")</f>
        <v>Over average</v>
      </c>
    </row>
    <row r="270" spans="2:13" x14ac:dyDescent="0.25">
      <c r="B270" s="1" t="s">
        <v>546</v>
      </c>
      <c r="C270" s="1" t="s">
        <v>547</v>
      </c>
      <c r="D270">
        <v>30</v>
      </c>
      <c r="E270" s="2">
        <v>45677</v>
      </c>
      <c r="F270" s="2">
        <v>45679</v>
      </c>
      <c r="G270" s="1" t="s">
        <v>9</v>
      </c>
      <c r="H270">
        <v>88</v>
      </c>
      <c r="I270" s="19">
        <f>patients[[#This Row],[departure_date]]-patients[[#This Row],[arrival_date]]</f>
        <v>2</v>
      </c>
      <c r="J270" t="str">
        <f>IF(patients[[#This Row],[age]] &lt; 18,"0-17",IF(patients[[#This Row],[age]] &lt; 40,"18-39",IF(patients[[#This Row],[age]] &lt; 65,"40-64","65+")))</f>
        <v>18-39</v>
      </c>
      <c r="K270" s="1" t="str">
        <f>TEXT(patients[[#This Row],[arrival_date]],"[$-409]mmmm")</f>
        <v>January</v>
      </c>
      <c r="L270" s="1">
        <f>MATCH(K270, {"January";"February";"March";"April";"May";"June";"July";"August";"September";"October";"November";"December"}, 0)</f>
        <v>1</v>
      </c>
      <c r="M270" s="1" t="str" cm="1">
        <f t="array" ref="M270">IF(patients[[#This Row],[length_of_stay]]&gt;patients!$N$2:$N$2,"Over average","Less than average")</f>
        <v>Less than average</v>
      </c>
    </row>
    <row r="271" spans="2:13" x14ac:dyDescent="0.25">
      <c r="B271" s="1" t="s">
        <v>548</v>
      </c>
      <c r="C271" s="1" t="s">
        <v>549</v>
      </c>
      <c r="D271">
        <v>59</v>
      </c>
      <c r="E271" s="2">
        <v>45817</v>
      </c>
      <c r="F271" s="2">
        <v>45830</v>
      </c>
      <c r="G271" s="1" t="s">
        <v>14</v>
      </c>
      <c r="H271">
        <v>61</v>
      </c>
      <c r="I271" s="19">
        <f>patients[[#This Row],[departure_date]]-patients[[#This Row],[arrival_date]]</f>
        <v>13</v>
      </c>
      <c r="J271" t="str">
        <f>IF(patients[[#This Row],[age]] &lt; 18,"0-17",IF(patients[[#This Row],[age]] &lt; 40,"18-39",IF(patients[[#This Row],[age]] &lt; 65,"40-64","65+")))</f>
        <v>40-64</v>
      </c>
      <c r="K271" s="1" t="str">
        <f>TEXT(patients[[#This Row],[arrival_date]],"[$-409]mmmm")</f>
        <v>June</v>
      </c>
      <c r="L271" s="1">
        <f>MATCH(K271, {"January";"February";"March";"April";"May";"June";"July";"August";"September";"October";"November";"December"}, 0)</f>
        <v>6</v>
      </c>
      <c r="M271" s="1" t="str" cm="1">
        <f t="array" ref="M271">IF(patients[[#This Row],[length_of_stay]]&gt;patients!$N$2:$N$2,"Over average","Less than average")</f>
        <v>Over average</v>
      </c>
    </row>
    <row r="272" spans="2:13" x14ac:dyDescent="0.25">
      <c r="B272" s="1" t="s">
        <v>550</v>
      </c>
      <c r="C272" s="1" t="s">
        <v>551</v>
      </c>
      <c r="D272">
        <v>59</v>
      </c>
      <c r="E272" s="2">
        <v>45944</v>
      </c>
      <c r="F272" s="2">
        <v>45947</v>
      </c>
      <c r="G272" s="1" t="s">
        <v>14</v>
      </c>
      <c r="H272">
        <v>64</v>
      </c>
      <c r="I272" s="19">
        <f>patients[[#This Row],[departure_date]]-patients[[#This Row],[arrival_date]]</f>
        <v>3</v>
      </c>
      <c r="J272" t="str">
        <f>IF(patients[[#This Row],[age]] &lt; 18,"0-17",IF(patients[[#This Row],[age]] &lt; 40,"18-39",IF(patients[[#This Row],[age]] &lt; 65,"40-64","65+")))</f>
        <v>40-64</v>
      </c>
      <c r="K272" s="1" t="str">
        <f>TEXT(patients[[#This Row],[arrival_date]],"[$-409]mmmm")</f>
        <v>October</v>
      </c>
      <c r="L272" s="1">
        <f>MATCH(K272, {"January";"February";"March";"April";"May";"June";"July";"August";"September";"October";"November";"December"}, 0)</f>
        <v>10</v>
      </c>
      <c r="M272" s="1" t="str" cm="1">
        <f t="array" ref="M272">IF(patients[[#This Row],[length_of_stay]]&gt;patients!$N$2:$N$2,"Over average","Less than average")</f>
        <v>Less than average</v>
      </c>
    </row>
    <row r="273" spans="2:13" x14ac:dyDescent="0.25">
      <c r="B273" s="1" t="s">
        <v>552</v>
      </c>
      <c r="C273" s="1" t="s">
        <v>553</v>
      </c>
      <c r="D273">
        <v>82</v>
      </c>
      <c r="E273" s="2">
        <v>45923</v>
      </c>
      <c r="F273" s="2">
        <v>45932</v>
      </c>
      <c r="G273" s="1" t="s">
        <v>9</v>
      </c>
      <c r="H273">
        <v>61</v>
      </c>
      <c r="I273" s="19">
        <f>patients[[#This Row],[departure_date]]-patients[[#This Row],[arrival_date]]</f>
        <v>9</v>
      </c>
      <c r="J273" t="str">
        <f>IF(patients[[#This Row],[age]] &lt; 18,"0-17",IF(patients[[#This Row],[age]] &lt; 40,"18-39",IF(patients[[#This Row],[age]] &lt; 65,"40-64","65+")))</f>
        <v>65+</v>
      </c>
      <c r="K273" s="1" t="str">
        <f>TEXT(patients[[#This Row],[arrival_date]],"[$-409]mmmm")</f>
        <v>September</v>
      </c>
      <c r="L273" s="1">
        <f>MATCH(K273, {"January";"February";"March";"April";"May";"June";"July";"August";"September";"October";"November";"December"}, 0)</f>
        <v>9</v>
      </c>
      <c r="M273" s="1" t="str" cm="1">
        <f t="array" ref="M273">IF(patients[[#This Row],[length_of_stay]]&gt;patients!$N$2:$N$2,"Over average","Less than average")</f>
        <v>Over average</v>
      </c>
    </row>
    <row r="274" spans="2:13" x14ac:dyDescent="0.25">
      <c r="B274" s="1" t="s">
        <v>554</v>
      </c>
      <c r="C274" s="1" t="s">
        <v>555</v>
      </c>
      <c r="D274">
        <v>10</v>
      </c>
      <c r="E274" s="2">
        <v>45910</v>
      </c>
      <c r="F274" s="2">
        <v>45918</v>
      </c>
      <c r="G274" s="1" t="s">
        <v>9</v>
      </c>
      <c r="H274">
        <v>74</v>
      </c>
      <c r="I274" s="19">
        <f>patients[[#This Row],[departure_date]]-patients[[#This Row],[arrival_date]]</f>
        <v>8</v>
      </c>
      <c r="J274" t="str">
        <f>IF(patients[[#This Row],[age]] &lt; 18,"0-17",IF(patients[[#This Row],[age]] &lt; 40,"18-39",IF(patients[[#This Row],[age]] &lt; 65,"40-64","65+")))</f>
        <v>0-17</v>
      </c>
      <c r="K274" s="1" t="str">
        <f>TEXT(patients[[#This Row],[arrival_date]],"[$-409]mmmm")</f>
        <v>September</v>
      </c>
      <c r="L274" s="1">
        <f>MATCH(K274, {"January";"February";"March";"April";"May";"June";"July";"August";"September";"October";"November";"December"}, 0)</f>
        <v>9</v>
      </c>
      <c r="M274" s="1" t="str" cm="1">
        <f t="array" ref="M274">IF(patients[[#This Row],[length_of_stay]]&gt;patients!$N$2:$N$2,"Over average","Less than average")</f>
        <v>Over average</v>
      </c>
    </row>
    <row r="275" spans="2:13" x14ac:dyDescent="0.25">
      <c r="B275" s="1" t="s">
        <v>556</v>
      </c>
      <c r="C275" s="1" t="s">
        <v>557</v>
      </c>
      <c r="D275">
        <v>72</v>
      </c>
      <c r="E275" s="2">
        <v>45740</v>
      </c>
      <c r="F275" s="2">
        <v>45749</v>
      </c>
      <c r="G275" s="1" t="s">
        <v>14</v>
      </c>
      <c r="H275">
        <v>94</v>
      </c>
      <c r="I275" s="19">
        <f>patients[[#This Row],[departure_date]]-patients[[#This Row],[arrival_date]]</f>
        <v>9</v>
      </c>
      <c r="J275" t="str">
        <f>IF(patients[[#This Row],[age]] &lt; 18,"0-17",IF(patients[[#This Row],[age]] &lt; 40,"18-39",IF(patients[[#This Row],[age]] &lt; 65,"40-64","65+")))</f>
        <v>65+</v>
      </c>
      <c r="K275" s="1" t="str">
        <f>TEXT(patients[[#This Row],[arrival_date]],"[$-409]mmmm")</f>
        <v>March</v>
      </c>
      <c r="L275" s="1">
        <f>MATCH(K275, {"January";"February";"March";"April";"May";"June";"July";"August";"September";"October";"November";"December"}, 0)</f>
        <v>3</v>
      </c>
      <c r="M275" s="1" t="str" cm="1">
        <f t="array" ref="M275">IF(patients[[#This Row],[length_of_stay]]&gt;patients!$N$2:$N$2,"Over average","Less than average")</f>
        <v>Over average</v>
      </c>
    </row>
    <row r="276" spans="2:13" x14ac:dyDescent="0.25">
      <c r="B276" s="1" t="s">
        <v>558</v>
      </c>
      <c r="C276" s="1" t="s">
        <v>559</v>
      </c>
      <c r="D276">
        <v>20</v>
      </c>
      <c r="E276" s="2">
        <v>45813</v>
      </c>
      <c r="F276" s="2">
        <v>45827</v>
      </c>
      <c r="G276" s="1" t="s">
        <v>17</v>
      </c>
      <c r="H276">
        <v>66</v>
      </c>
      <c r="I276" s="19">
        <f>patients[[#This Row],[departure_date]]-patients[[#This Row],[arrival_date]]</f>
        <v>14</v>
      </c>
      <c r="J276" t="str">
        <f>IF(patients[[#This Row],[age]] &lt; 18,"0-17",IF(patients[[#This Row],[age]] &lt; 40,"18-39",IF(patients[[#This Row],[age]] &lt; 65,"40-64","65+")))</f>
        <v>18-39</v>
      </c>
      <c r="K276" s="1" t="str">
        <f>TEXT(patients[[#This Row],[arrival_date]],"[$-409]mmmm")</f>
        <v>June</v>
      </c>
      <c r="L276" s="1">
        <f>MATCH(K276, {"January";"February";"March";"April";"May";"June";"July";"August";"September";"October";"November";"December"}, 0)</f>
        <v>6</v>
      </c>
      <c r="M276" s="1" t="str" cm="1">
        <f t="array" ref="M276">IF(patients[[#This Row],[length_of_stay]]&gt;patients!$N$2:$N$2,"Over average","Less than average")</f>
        <v>Over average</v>
      </c>
    </row>
    <row r="277" spans="2:13" x14ac:dyDescent="0.25">
      <c r="B277" s="1" t="s">
        <v>560</v>
      </c>
      <c r="C277" s="1" t="s">
        <v>561</v>
      </c>
      <c r="D277">
        <v>79</v>
      </c>
      <c r="E277" s="2">
        <v>45909</v>
      </c>
      <c r="F277" s="2">
        <v>45910</v>
      </c>
      <c r="G277" s="1" t="s">
        <v>20</v>
      </c>
      <c r="H277">
        <v>63</v>
      </c>
      <c r="I277" s="19">
        <f>patients[[#This Row],[departure_date]]-patients[[#This Row],[arrival_date]]</f>
        <v>1</v>
      </c>
      <c r="J277" t="str">
        <f>IF(patients[[#This Row],[age]] &lt; 18,"0-17",IF(patients[[#This Row],[age]] &lt; 40,"18-39",IF(patients[[#This Row],[age]] &lt; 65,"40-64","65+")))</f>
        <v>65+</v>
      </c>
      <c r="K277" s="1" t="str">
        <f>TEXT(patients[[#This Row],[arrival_date]],"[$-409]mmmm")</f>
        <v>September</v>
      </c>
      <c r="L277" s="1">
        <f>MATCH(K277, {"January";"February";"March";"April";"May";"June";"July";"August";"September";"October";"November";"December"}, 0)</f>
        <v>9</v>
      </c>
      <c r="M277" s="1" t="str" cm="1">
        <f t="array" ref="M277">IF(patients[[#This Row],[length_of_stay]]&gt;patients!$N$2:$N$2,"Over average","Less than average")</f>
        <v>Less than average</v>
      </c>
    </row>
    <row r="278" spans="2:13" x14ac:dyDescent="0.25">
      <c r="B278" s="1" t="s">
        <v>562</v>
      </c>
      <c r="C278" s="1" t="s">
        <v>563</v>
      </c>
      <c r="D278">
        <v>3</v>
      </c>
      <c r="E278" s="2">
        <v>45697</v>
      </c>
      <c r="F278" s="2">
        <v>45698</v>
      </c>
      <c r="G278" s="1" t="s">
        <v>14</v>
      </c>
      <c r="H278">
        <v>96</v>
      </c>
      <c r="I278" s="19">
        <f>patients[[#This Row],[departure_date]]-patients[[#This Row],[arrival_date]]</f>
        <v>1</v>
      </c>
      <c r="J278" t="str">
        <f>IF(patients[[#This Row],[age]] &lt; 18,"0-17",IF(patients[[#This Row],[age]] &lt; 40,"18-39",IF(patients[[#This Row],[age]] &lt; 65,"40-64","65+")))</f>
        <v>0-17</v>
      </c>
      <c r="K278" s="1" t="str">
        <f>TEXT(patients[[#This Row],[arrival_date]],"[$-409]mmmm")</f>
        <v>February</v>
      </c>
      <c r="L278" s="1">
        <f>MATCH(K278, {"January";"February";"March";"April";"May";"June";"July";"August";"September";"October";"November";"December"}, 0)</f>
        <v>2</v>
      </c>
      <c r="M278" s="1" t="str" cm="1">
        <f t="array" ref="M278">IF(patients[[#This Row],[length_of_stay]]&gt;patients!$N$2:$N$2,"Over average","Less than average")</f>
        <v>Less than average</v>
      </c>
    </row>
    <row r="279" spans="2:13" x14ac:dyDescent="0.25">
      <c r="B279" s="1" t="s">
        <v>564</v>
      </c>
      <c r="C279" s="1" t="s">
        <v>565</v>
      </c>
      <c r="D279">
        <v>51</v>
      </c>
      <c r="E279" s="2">
        <v>45965</v>
      </c>
      <c r="F279" s="2">
        <v>45969</v>
      </c>
      <c r="G279" s="1" t="s">
        <v>17</v>
      </c>
      <c r="H279">
        <v>97</v>
      </c>
      <c r="I279" s="19">
        <f>patients[[#This Row],[departure_date]]-patients[[#This Row],[arrival_date]]</f>
        <v>4</v>
      </c>
      <c r="J279" t="str">
        <f>IF(patients[[#This Row],[age]] &lt; 18,"0-17",IF(patients[[#This Row],[age]] &lt; 40,"18-39",IF(patients[[#This Row],[age]] &lt; 65,"40-64","65+")))</f>
        <v>40-64</v>
      </c>
      <c r="K279" s="1" t="str">
        <f>TEXT(patients[[#This Row],[arrival_date]],"[$-409]mmmm")</f>
        <v>November</v>
      </c>
      <c r="L279" s="1">
        <f>MATCH(K279, {"January";"February";"March";"April";"May";"June";"July";"August";"September";"October";"November";"December"}, 0)</f>
        <v>11</v>
      </c>
      <c r="M279" s="1" t="str" cm="1">
        <f t="array" ref="M279">IF(patients[[#This Row],[length_of_stay]]&gt;patients!$N$2:$N$2,"Over average","Less than average")</f>
        <v>Less than average</v>
      </c>
    </row>
    <row r="280" spans="2:13" x14ac:dyDescent="0.25">
      <c r="B280" s="1" t="s">
        <v>566</v>
      </c>
      <c r="C280" s="1" t="s">
        <v>567</v>
      </c>
      <c r="D280">
        <v>49</v>
      </c>
      <c r="E280" s="2">
        <v>45773</v>
      </c>
      <c r="F280" s="2">
        <v>45787</v>
      </c>
      <c r="G280" s="1" t="s">
        <v>14</v>
      </c>
      <c r="H280">
        <v>94</v>
      </c>
      <c r="I280" s="19">
        <f>patients[[#This Row],[departure_date]]-patients[[#This Row],[arrival_date]]</f>
        <v>14</v>
      </c>
      <c r="J280" t="str">
        <f>IF(patients[[#This Row],[age]] &lt; 18,"0-17",IF(patients[[#This Row],[age]] &lt; 40,"18-39",IF(patients[[#This Row],[age]] &lt; 65,"40-64","65+")))</f>
        <v>40-64</v>
      </c>
      <c r="K280" s="1" t="str">
        <f>TEXT(patients[[#This Row],[arrival_date]],"[$-409]mmmm")</f>
        <v>April</v>
      </c>
      <c r="L280" s="1">
        <f>MATCH(K280, {"January";"February";"March";"April";"May";"June";"July";"August";"September";"October";"November";"December"}, 0)</f>
        <v>4</v>
      </c>
      <c r="M280" s="1" t="str" cm="1">
        <f t="array" ref="M280">IF(patients[[#This Row],[length_of_stay]]&gt;patients!$N$2:$N$2,"Over average","Less than average")</f>
        <v>Over average</v>
      </c>
    </row>
    <row r="281" spans="2:13" x14ac:dyDescent="0.25">
      <c r="B281" s="1" t="s">
        <v>568</v>
      </c>
      <c r="C281" s="1" t="s">
        <v>569</v>
      </c>
      <c r="D281">
        <v>6</v>
      </c>
      <c r="E281" s="2">
        <v>45749</v>
      </c>
      <c r="F281" s="2">
        <v>45755</v>
      </c>
      <c r="G281" s="1" t="s">
        <v>14</v>
      </c>
      <c r="H281">
        <v>73</v>
      </c>
      <c r="I281" s="19">
        <f>patients[[#This Row],[departure_date]]-patients[[#This Row],[arrival_date]]</f>
        <v>6</v>
      </c>
      <c r="J281" t="str">
        <f>IF(patients[[#This Row],[age]] &lt; 18,"0-17",IF(patients[[#This Row],[age]] &lt; 40,"18-39",IF(patients[[#This Row],[age]] &lt; 65,"40-64","65+")))</f>
        <v>0-17</v>
      </c>
      <c r="K281" s="1" t="str">
        <f>TEXT(patients[[#This Row],[arrival_date]],"[$-409]mmmm")</f>
        <v>April</v>
      </c>
      <c r="L281" s="1">
        <f>MATCH(K281, {"January";"February";"March";"April";"May";"June";"July";"August";"September";"October";"November";"December"}, 0)</f>
        <v>4</v>
      </c>
      <c r="M281" s="1" t="str" cm="1">
        <f t="array" ref="M281">IF(patients[[#This Row],[length_of_stay]]&gt;patients!$N$2:$N$2,"Over average","Less than average")</f>
        <v>Less than average</v>
      </c>
    </row>
    <row r="282" spans="2:13" x14ac:dyDescent="0.25">
      <c r="B282" s="1" t="s">
        <v>570</v>
      </c>
      <c r="C282" s="1" t="s">
        <v>571</v>
      </c>
      <c r="D282">
        <v>70</v>
      </c>
      <c r="E282" s="2">
        <v>45743</v>
      </c>
      <c r="F282" s="2">
        <v>45748</v>
      </c>
      <c r="G282" s="1" t="s">
        <v>17</v>
      </c>
      <c r="H282">
        <v>61</v>
      </c>
      <c r="I282" s="19">
        <f>patients[[#This Row],[departure_date]]-patients[[#This Row],[arrival_date]]</f>
        <v>5</v>
      </c>
      <c r="J282" t="str">
        <f>IF(patients[[#This Row],[age]] &lt; 18,"0-17",IF(patients[[#This Row],[age]] &lt; 40,"18-39",IF(patients[[#This Row],[age]] &lt; 65,"40-64","65+")))</f>
        <v>65+</v>
      </c>
      <c r="K282" s="1" t="str">
        <f>TEXT(patients[[#This Row],[arrival_date]],"[$-409]mmmm")</f>
        <v>March</v>
      </c>
      <c r="L282" s="1">
        <f>MATCH(K282, {"January";"February";"March";"April";"May";"June";"July";"August";"September";"October";"November";"December"}, 0)</f>
        <v>3</v>
      </c>
      <c r="M282" s="1" t="str" cm="1">
        <f t="array" ref="M282">IF(patients[[#This Row],[length_of_stay]]&gt;patients!$N$2:$N$2,"Over average","Less than average")</f>
        <v>Less than average</v>
      </c>
    </row>
    <row r="283" spans="2:13" x14ac:dyDescent="0.25">
      <c r="B283" s="1" t="s">
        <v>572</v>
      </c>
      <c r="C283" s="1" t="s">
        <v>573</v>
      </c>
      <c r="D283">
        <v>61</v>
      </c>
      <c r="E283" s="2">
        <v>45903</v>
      </c>
      <c r="F283" s="2">
        <v>45909</v>
      </c>
      <c r="G283" s="1" t="s">
        <v>14</v>
      </c>
      <c r="H283">
        <v>74</v>
      </c>
      <c r="I283" s="19">
        <f>patients[[#This Row],[departure_date]]-patients[[#This Row],[arrival_date]]</f>
        <v>6</v>
      </c>
      <c r="J283" t="str">
        <f>IF(patients[[#This Row],[age]] &lt; 18,"0-17",IF(patients[[#This Row],[age]] &lt; 40,"18-39",IF(patients[[#This Row],[age]] &lt; 65,"40-64","65+")))</f>
        <v>40-64</v>
      </c>
      <c r="K283" s="1" t="str">
        <f>TEXT(patients[[#This Row],[arrival_date]],"[$-409]mmmm")</f>
        <v>September</v>
      </c>
      <c r="L283" s="1">
        <f>MATCH(K283, {"January";"February";"March";"April";"May";"June";"July";"August";"September";"October";"November";"December"}, 0)</f>
        <v>9</v>
      </c>
      <c r="M283" s="1" t="str" cm="1">
        <f t="array" ref="M283">IF(patients[[#This Row],[length_of_stay]]&gt;patients!$N$2:$N$2,"Over average","Less than average")</f>
        <v>Less than average</v>
      </c>
    </row>
    <row r="284" spans="2:13" x14ac:dyDescent="0.25">
      <c r="B284" s="1" t="s">
        <v>574</v>
      </c>
      <c r="C284" s="1" t="s">
        <v>575</v>
      </c>
      <c r="D284">
        <v>20</v>
      </c>
      <c r="E284" s="2">
        <v>45971</v>
      </c>
      <c r="F284" s="2">
        <v>45979</v>
      </c>
      <c r="G284" s="1" t="s">
        <v>9</v>
      </c>
      <c r="H284">
        <v>98</v>
      </c>
      <c r="I284" s="19">
        <f>patients[[#This Row],[departure_date]]-patients[[#This Row],[arrival_date]]</f>
        <v>8</v>
      </c>
      <c r="J284" t="str">
        <f>IF(patients[[#This Row],[age]] &lt; 18,"0-17",IF(patients[[#This Row],[age]] &lt; 40,"18-39",IF(patients[[#This Row],[age]] &lt; 65,"40-64","65+")))</f>
        <v>18-39</v>
      </c>
      <c r="K284" s="1" t="str">
        <f>TEXT(patients[[#This Row],[arrival_date]],"[$-409]mmmm")</f>
        <v>November</v>
      </c>
      <c r="L284" s="1">
        <f>MATCH(K284, {"January";"February";"March";"April";"May";"June";"July";"August";"September";"October";"November";"December"}, 0)</f>
        <v>11</v>
      </c>
      <c r="M284" s="1" t="str" cm="1">
        <f t="array" ref="M284">IF(patients[[#This Row],[length_of_stay]]&gt;patients!$N$2:$N$2,"Over average","Less than average")</f>
        <v>Over average</v>
      </c>
    </row>
    <row r="285" spans="2:13" x14ac:dyDescent="0.25">
      <c r="B285" s="1" t="s">
        <v>576</v>
      </c>
      <c r="C285" s="1" t="s">
        <v>577</v>
      </c>
      <c r="D285">
        <v>4</v>
      </c>
      <c r="E285" s="2">
        <v>45670</v>
      </c>
      <c r="F285" s="2">
        <v>45675</v>
      </c>
      <c r="G285" s="1" t="s">
        <v>17</v>
      </c>
      <c r="H285">
        <v>85</v>
      </c>
      <c r="I285" s="19">
        <f>patients[[#This Row],[departure_date]]-patients[[#This Row],[arrival_date]]</f>
        <v>5</v>
      </c>
      <c r="J285" t="str">
        <f>IF(patients[[#This Row],[age]] &lt; 18,"0-17",IF(patients[[#This Row],[age]] &lt; 40,"18-39",IF(patients[[#This Row],[age]] &lt; 65,"40-64","65+")))</f>
        <v>0-17</v>
      </c>
      <c r="K285" s="1" t="str">
        <f>TEXT(patients[[#This Row],[arrival_date]],"[$-409]mmmm")</f>
        <v>January</v>
      </c>
      <c r="L285" s="1">
        <f>MATCH(K285, {"January";"February";"March";"April";"May";"June";"July";"August";"September";"October";"November";"December"}, 0)</f>
        <v>1</v>
      </c>
      <c r="M285" s="1" t="str" cm="1">
        <f t="array" ref="M285">IF(patients[[#This Row],[length_of_stay]]&gt;patients!$N$2:$N$2,"Over average","Less than average")</f>
        <v>Less than average</v>
      </c>
    </row>
    <row r="286" spans="2:13" x14ac:dyDescent="0.25">
      <c r="B286" s="1" t="s">
        <v>578</v>
      </c>
      <c r="C286" s="1" t="s">
        <v>579</v>
      </c>
      <c r="D286">
        <v>84</v>
      </c>
      <c r="E286" s="2">
        <v>45995</v>
      </c>
      <c r="F286" s="2">
        <v>46000</v>
      </c>
      <c r="G286" s="1" t="s">
        <v>17</v>
      </c>
      <c r="H286">
        <v>91</v>
      </c>
      <c r="I286" s="19">
        <f>patients[[#This Row],[departure_date]]-patients[[#This Row],[arrival_date]]</f>
        <v>5</v>
      </c>
      <c r="J286" t="str">
        <f>IF(patients[[#This Row],[age]] &lt; 18,"0-17",IF(patients[[#This Row],[age]] &lt; 40,"18-39",IF(patients[[#This Row],[age]] &lt; 65,"40-64","65+")))</f>
        <v>65+</v>
      </c>
      <c r="K286" s="1" t="str">
        <f>TEXT(patients[[#This Row],[arrival_date]],"[$-409]mmmm")</f>
        <v>December</v>
      </c>
      <c r="L286" s="1">
        <f>MATCH(K286, {"January";"February";"March";"April";"May";"June";"July";"August";"September";"October";"November";"December"}, 0)</f>
        <v>12</v>
      </c>
      <c r="M286" s="1" t="str" cm="1">
        <f t="array" ref="M286">IF(patients[[#This Row],[length_of_stay]]&gt;patients!$N$2:$N$2,"Over average","Less than average")</f>
        <v>Less than average</v>
      </c>
    </row>
    <row r="287" spans="2:13" x14ac:dyDescent="0.25">
      <c r="B287" s="1" t="s">
        <v>580</v>
      </c>
      <c r="C287" s="1" t="s">
        <v>581</v>
      </c>
      <c r="D287">
        <v>35</v>
      </c>
      <c r="E287" s="2">
        <v>45845</v>
      </c>
      <c r="F287" s="2">
        <v>45856</v>
      </c>
      <c r="G287" s="1" t="s">
        <v>17</v>
      </c>
      <c r="H287">
        <v>80</v>
      </c>
      <c r="I287" s="19">
        <f>patients[[#This Row],[departure_date]]-patients[[#This Row],[arrival_date]]</f>
        <v>11</v>
      </c>
      <c r="J287" t="str">
        <f>IF(patients[[#This Row],[age]] &lt; 18,"0-17",IF(patients[[#This Row],[age]] &lt; 40,"18-39",IF(patients[[#This Row],[age]] &lt; 65,"40-64","65+")))</f>
        <v>18-39</v>
      </c>
      <c r="K287" s="1" t="str">
        <f>TEXT(patients[[#This Row],[arrival_date]],"[$-409]mmmm")</f>
        <v>July</v>
      </c>
      <c r="L287" s="1">
        <f>MATCH(K287, {"January";"February";"March";"April";"May";"June";"July";"August";"September";"October";"November";"December"}, 0)</f>
        <v>7</v>
      </c>
      <c r="M287" s="1" t="str" cm="1">
        <f t="array" ref="M287">IF(patients[[#This Row],[length_of_stay]]&gt;patients!$N$2:$N$2,"Over average","Less than average")</f>
        <v>Over average</v>
      </c>
    </row>
    <row r="288" spans="2:13" x14ac:dyDescent="0.25">
      <c r="B288" s="1" t="s">
        <v>582</v>
      </c>
      <c r="C288" s="1" t="s">
        <v>583</v>
      </c>
      <c r="D288">
        <v>51</v>
      </c>
      <c r="E288" s="2">
        <v>45840</v>
      </c>
      <c r="F288" s="2">
        <v>45845</v>
      </c>
      <c r="G288" s="1" t="s">
        <v>20</v>
      </c>
      <c r="H288">
        <v>85</v>
      </c>
      <c r="I288" s="19">
        <f>patients[[#This Row],[departure_date]]-patients[[#This Row],[arrival_date]]</f>
        <v>5</v>
      </c>
      <c r="J288" t="str">
        <f>IF(patients[[#This Row],[age]] &lt; 18,"0-17",IF(patients[[#This Row],[age]] &lt; 40,"18-39",IF(patients[[#This Row],[age]] &lt; 65,"40-64","65+")))</f>
        <v>40-64</v>
      </c>
      <c r="K288" s="1" t="str">
        <f>TEXT(patients[[#This Row],[arrival_date]],"[$-409]mmmm")</f>
        <v>July</v>
      </c>
      <c r="L288" s="1">
        <f>MATCH(K288, {"January";"February";"March";"April";"May";"June";"July";"August";"September";"October";"November";"December"}, 0)</f>
        <v>7</v>
      </c>
      <c r="M288" s="1" t="str" cm="1">
        <f t="array" ref="M288">IF(patients[[#This Row],[length_of_stay]]&gt;patients!$N$2:$N$2,"Over average","Less than average")</f>
        <v>Less than average</v>
      </c>
    </row>
    <row r="289" spans="2:13" x14ac:dyDescent="0.25">
      <c r="B289" s="1" t="s">
        <v>584</v>
      </c>
      <c r="C289" s="1" t="s">
        <v>585</v>
      </c>
      <c r="D289">
        <v>67</v>
      </c>
      <c r="E289" s="2">
        <v>45709</v>
      </c>
      <c r="F289" s="2">
        <v>45721</v>
      </c>
      <c r="G289" s="1" t="s">
        <v>9</v>
      </c>
      <c r="H289">
        <v>77</v>
      </c>
      <c r="I289" s="19">
        <f>patients[[#This Row],[departure_date]]-patients[[#This Row],[arrival_date]]</f>
        <v>12</v>
      </c>
      <c r="J289" t="str">
        <f>IF(patients[[#This Row],[age]] &lt; 18,"0-17",IF(patients[[#This Row],[age]] &lt; 40,"18-39",IF(patients[[#This Row],[age]] &lt; 65,"40-64","65+")))</f>
        <v>65+</v>
      </c>
      <c r="K289" s="1" t="str">
        <f>TEXT(patients[[#This Row],[arrival_date]],"[$-409]mmmm")</f>
        <v>February</v>
      </c>
      <c r="L289" s="1">
        <f>MATCH(K289, {"January";"February";"March";"April";"May";"June";"July";"August";"September";"October";"November";"December"}, 0)</f>
        <v>2</v>
      </c>
      <c r="M289" s="1" t="str" cm="1">
        <f t="array" ref="M289">IF(patients[[#This Row],[length_of_stay]]&gt;patients!$N$2:$N$2,"Over average","Less than average")</f>
        <v>Over average</v>
      </c>
    </row>
    <row r="290" spans="2:13" x14ac:dyDescent="0.25">
      <c r="B290" s="1" t="s">
        <v>586</v>
      </c>
      <c r="C290" s="1" t="s">
        <v>587</v>
      </c>
      <c r="D290">
        <v>51</v>
      </c>
      <c r="E290" s="2">
        <v>45699</v>
      </c>
      <c r="F290" s="2">
        <v>45704</v>
      </c>
      <c r="G290" s="1" t="s">
        <v>17</v>
      </c>
      <c r="H290">
        <v>72</v>
      </c>
      <c r="I290" s="19">
        <f>patients[[#This Row],[departure_date]]-patients[[#This Row],[arrival_date]]</f>
        <v>5</v>
      </c>
      <c r="J290" t="str">
        <f>IF(patients[[#This Row],[age]] &lt; 18,"0-17",IF(patients[[#This Row],[age]] &lt; 40,"18-39",IF(patients[[#This Row],[age]] &lt; 65,"40-64","65+")))</f>
        <v>40-64</v>
      </c>
      <c r="K290" s="1" t="str">
        <f>TEXT(patients[[#This Row],[arrival_date]],"[$-409]mmmm")</f>
        <v>February</v>
      </c>
      <c r="L290" s="1">
        <f>MATCH(K290, {"January";"February";"March";"April";"May";"June";"July";"August";"September";"October";"November";"December"}, 0)</f>
        <v>2</v>
      </c>
      <c r="M290" s="1" t="str" cm="1">
        <f t="array" ref="M290">IF(patients[[#This Row],[length_of_stay]]&gt;patients!$N$2:$N$2,"Over average","Less than average")</f>
        <v>Less than average</v>
      </c>
    </row>
    <row r="291" spans="2:13" x14ac:dyDescent="0.25">
      <c r="B291" s="1" t="s">
        <v>588</v>
      </c>
      <c r="C291" s="1" t="s">
        <v>589</v>
      </c>
      <c r="D291">
        <v>63</v>
      </c>
      <c r="E291" s="2">
        <v>45777</v>
      </c>
      <c r="F291" s="2">
        <v>45786</v>
      </c>
      <c r="G291" s="1" t="s">
        <v>17</v>
      </c>
      <c r="H291">
        <v>60</v>
      </c>
      <c r="I291" s="19">
        <f>patients[[#This Row],[departure_date]]-patients[[#This Row],[arrival_date]]</f>
        <v>9</v>
      </c>
      <c r="J291" t="str">
        <f>IF(patients[[#This Row],[age]] &lt; 18,"0-17",IF(patients[[#This Row],[age]] &lt; 40,"18-39",IF(patients[[#This Row],[age]] &lt; 65,"40-64","65+")))</f>
        <v>40-64</v>
      </c>
      <c r="K291" s="1" t="str">
        <f>TEXT(patients[[#This Row],[arrival_date]],"[$-409]mmmm")</f>
        <v>April</v>
      </c>
      <c r="L291" s="1">
        <f>MATCH(K291, {"January";"February";"March";"April";"May";"June";"July";"August";"September";"October";"November";"December"}, 0)</f>
        <v>4</v>
      </c>
      <c r="M291" s="1" t="str" cm="1">
        <f t="array" ref="M291">IF(patients[[#This Row],[length_of_stay]]&gt;patients!$N$2:$N$2,"Over average","Less than average")</f>
        <v>Over average</v>
      </c>
    </row>
    <row r="292" spans="2:13" x14ac:dyDescent="0.25">
      <c r="B292" s="1" t="s">
        <v>590</v>
      </c>
      <c r="C292" s="1" t="s">
        <v>591</v>
      </c>
      <c r="D292">
        <v>1</v>
      </c>
      <c r="E292" s="2">
        <v>45705</v>
      </c>
      <c r="F292" s="2">
        <v>45718</v>
      </c>
      <c r="G292" s="1" t="s">
        <v>20</v>
      </c>
      <c r="H292">
        <v>92</v>
      </c>
      <c r="I292" s="19">
        <f>patients[[#This Row],[departure_date]]-patients[[#This Row],[arrival_date]]</f>
        <v>13</v>
      </c>
      <c r="J292" t="str">
        <f>IF(patients[[#This Row],[age]] &lt; 18,"0-17",IF(patients[[#This Row],[age]] &lt; 40,"18-39",IF(patients[[#This Row],[age]] &lt; 65,"40-64","65+")))</f>
        <v>0-17</v>
      </c>
      <c r="K292" s="1" t="str">
        <f>TEXT(patients[[#This Row],[arrival_date]],"[$-409]mmmm")</f>
        <v>February</v>
      </c>
      <c r="L292" s="1">
        <f>MATCH(K292, {"January";"February";"March";"April";"May";"June";"July";"August";"September";"October";"November";"December"}, 0)</f>
        <v>2</v>
      </c>
      <c r="M292" s="1" t="str" cm="1">
        <f t="array" ref="M292">IF(patients[[#This Row],[length_of_stay]]&gt;patients!$N$2:$N$2,"Over average","Less than average")</f>
        <v>Over average</v>
      </c>
    </row>
    <row r="293" spans="2:13" x14ac:dyDescent="0.25">
      <c r="B293" s="1" t="s">
        <v>592</v>
      </c>
      <c r="C293" s="1" t="s">
        <v>593</v>
      </c>
      <c r="D293">
        <v>9</v>
      </c>
      <c r="E293" s="2">
        <v>45971</v>
      </c>
      <c r="F293" s="2">
        <v>45983</v>
      </c>
      <c r="G293" s="1" t="s">
        <v>9</v>
      </c>
      <c r="H293">
        <v>99</v>
      </c>
      <c r="I293" s="19">
        <f>patients[[#This Row],[departure_date]]-patients[[#This Row],[arrival_date]]</f>
        <v>12</v>
      </c>
      <c r="J293" t="str">
        <f>IF(patients[[#This Row],[age]] &lt; 18,"0-17",IF(patients[[#This Row],[age]] &lt; 40,"18-39",IF(patients[[#This Row],[age]] &lt; 65,"40-64","65+")))</f>
        <v>0-17</v>
      </c>
      <c r="K293" s="1" t="str">
        <f>TEXT(patients[[#This Row],[arrival_date]],"[$-409]mmmm")</f>
        <v>November</v>
      </c>
      <c r="L293" s="1">
        <f>MATCH(K293, {"January";"February";"March";"April";"May";"June";"July";"August";"September";"October";"November";"December"}, 0)</f>
        <v>11</v>
      </c>
      <c r="M293" s="1" t="str" cm="1">
        <f t="array" ref="M293">IF(patients[[#This Row],[length_of_stay]]&gt;patients!$N$2:$N$2,"Over average","Less than average")</f>
        <v>Over average</v>
      </c>
    </row>
    <row r="294" spans="2:13" x14ac:dyDescent="0.25">
      <c r="B294" s="1" t="s">
        <v>594</v>
      </c>
      <c r="C294" s="1" t="s">
        <v>595</v>
      </c>
      <c r="D294">
        <v>20</v>
      </c>
      <c r="E294" s="2">
        <v>45860</v>
      </c>
      <c r="F294" s="2">
        <v>45867</v>
      </c>
      <c r="G294" s="1" t="s">
        <v>20</v>
      </c>
      <c r="H294">
        <v>93</v>
      </c>
      <c r="I294" s="19">
        <f>patients[[#This Row],[departure_date]]-patients[[#This Row],[arrival_date]]</f>
        <v>7</v>
      </c>
      <c r="J294" t="str">
        <f>IF(patients[[#This Row],[age]] &lt; 18,"0-17",IF(patients[[#This Row],[age]] &lt; 40,"18-39",IF(patients[[#This Row],[age]] &lt; 65,"40-64","65+")))</f>
        <v>18-39</v>
      </c>
      <c r="K294" s="1" t="str">
        <f>TEXT(patients[[#This Row],[arrival_date]],"[$-409]mmmm")</f>
        <v>July</v>
      </c>
      <c r="L294" s="1">
        <f>MATCH(K294, {"January";"February";"March";"April";"May";"June";"July";"August";"September";"October";"November";"December"}, 0)</f>
        <v>7</v>
      </c>
      <c r="M294" s="1" t="str" cm="1">
        <f t="array" ref="M294">IF(patients[[#This Row],[length_of_stay]]&gt;patients!$N$2:$N$2,"Over average","Less than average")</f>
        <v>Less than average</v>
      </c>
    </row>
    <row r="295" spans="2:13" x14ac:dyDescent="0.25">
      <c r="B295" s="1" t="s">
        <v>596</v>
      </c>
      <c r="C295" s="1" t="s">
        <v>597</v>
      </c>
      <c r="D295">
        <v>7</v>
      </c>
      <c r="E295" s="2">
        <v>45871</v>
      </c>
      <c r="F295" s="2">
        <v>45879</v>
      </c>
      <c r="G295" s="1" t="s">
        <v>14</v>
      </c>
      <c r="H295">
        <v>74</v>
      </c>
      <c r="I295" s="19">
        <f>patients[[#This Row],[departure_date]]-patients[[#This Row],[arrival_date]]</f>
        <v>8</v>
      </c>
      <c r="J295" t="str">
        <f>IF(patients[[#This Row],[age]] &lt; 18,"0-17",IF(patients[[#This Row],[age]] &lt; 40,"18-39",IF(patients[[#This Row],[age]] &lt; 65,"40-64","65+")))</f>
        <v>0-17</v>
      </c>
      <c r="K295" s="1" t="str">
        <f>TEXT(patients[[#This Row],[arrival_date]],"[$-409]mmmm")</f>
        <v>August</v>
      </c>
      <c r="L295" s="1">
        <f>MATCH(K295, {"January";"February";"March";"April";"May";"June";"July";"August";"September";"October";"November";"December"}, 0)</f>
        <v>8</v>
      </c>
      <c r="M295" s="1" t="str" cm="1">
        <f t="array" ref="M295">IF(patients[[#This Row],[length_of_stay]]&gt;patients!$N$2:$N$2,"Over average","Less than average")</f>
        <v>Over average</v>
      </c>
    </row>
    <row r="296" spans="2:13" x14ac:dyDescent="0.25">
      <c r="B296" s="1" t="s">
        <v>598</v>
      </c>
      <c r="C296" s="1" t="s">
        <v>599</v>
      </c>
      <c r="D296">
        <v>16</v>
      </c>
      <c r="E296" s="2">
        <v>46000</v>
      </c>
      <c r="F296" s="2">
        <v>46008</v>
      </c>
      <c r="G296" s="1" t="s">
        <v>20</v>
      </c>
      <c r="H296">
        <v>78</v>
      </c>
      <c r="I296" s="19">
        <f>patients[[#This Row],[departure_date]]-patients[[#This Row],[arrival_date]]</f>
        <v>8</v>
      </c>
      <c r="J296" t="str">
        <f>IF(patients[[#This Row],[age]] &lt; 18,"0-17",IF(patients[[#This Row],[age]] &lt; 40,"18-39",IF(patients[[#This Row],[age]] &lt; 65,"40-64","65+")))</f>
        <v>0-17</v>
      </c>
      <c r="K296" s="1" t="str">
        <f>TEXT(patients[[#This Row],[arrival_date]],"[$-409]mmmm")</f>
        <v>December</v>
      </c>
      <c r="L296" s="1">
        <f>MATCH(K296, {"January";"February";"March";"April";"May";"June";"July";"August";"September";"October";"November";"December"}, 0)</f>
        <v>12</v>
      </c>
      <c r="M296" s="1" t="str" cm="1">
        <f t="array" ref="M296">IF(patients[[#This Row],[length_of_stay]]&gt;patients!$N$2:$N$2,"Over average","Less than average")</f>
        <v>Over average</v>
      </c>
    </row>
    <row r="297" spans="2:13" x14ac:dyDescent="0.25">
      <c r="B297" s="1" t="s">
        <v>600</v>
      </c>
      <c r="C297" s="1" t="s">
        <v>601</v>
      </c>
      <c r="D297">
        <v>68</v>
      </c>
      <c r="E297" s="2">
        <v>45744</v>
      </c>
      <c r="F297" s="2">
        <v>45749</v>
      </c>
      <c r="G297" s="1" t="s">
        <v>20</v>
      </c>
      <c r="H297">
        <v>67</v>
      </c>
      <c r="I297" s="19">
        <f>patients[[#This Row],[departure_date]]-patients[[#This Row],[arrival_date]]</f>
        <v>5</v>
      </c>
      <c r="J297" t="str">
        <f>IF(patients[[#This Row],[age]] &lt; 18,"0-17",IF(patients[[#This Row],[age]] &lt; 40,"18-39",IF(patients[[#This Row],[age]] &lt; 65,"40-64","65+")))</f>
        <v>65+</v>
      </c>
      <c r="K297" s="1" t="str">
        <f>TEXT(patients[[#This Row],[arrival_date]],"[$-409]mmmm")</f>
        <v>March</v>
      </c>
      <c r="L297" s="1">
        <f>MATCH(K297, {"January";"February";"March";"April";"May";"June";"July";"August";"September";"October";"November";"December"}, 0)</f>
        <v>3</v>
      </c>
      <c r="M297" s="1" t="str" cm="1">
        <f t="array" ref="M297">IF(patients[[#This Row],[length_of_stay]]&gt;patients!$N$2:$N$2,"Over average","Less than average")</f>
        <v>Less than average</v>
      </c>
    </row>
    <row r="298" spans="2:13" x14ac:dyDescent="0.25">
      <c r="B298" s="1" t="s">
        <v>602</v>
      </c>
      <c r="C298" s="1" t="s">
        <v>603</v>
      </c>
      <c r="D298">
        <v>76</v>
      </c>
      <c r="E298" s="2">
        <v>45744</v>
      </c>
      <c r="F298" s="2">
        <v>45755</v>
      </c>
      <c r="G298" s="1" t="s">
        <v>20</v>
      </c>
      <c r="H298">
        <v>60</v>
      </c>
      <c r="I298" s="19">
        <f>patients[[#This Row],[departure_date]]-patients[[#This Row],[arrival_date]]</f>
        <v>11</v>
      </c>
      <c r="J298" t="str">
        <f>IF(patients[[#This Row],[age]] &lt; 18,"0-17",IF(patients[[#This Row],[age]] &lt; 40,"18-39",IF(patients[[#This Row],[age]] &lt; 65,"40-64","65+")))</f>
        <v>65+</v>
      </c>
      <c r="K298" s="1" t="str">
        <f>TEXT(patients[[#This Row],[arrival_date]],"[$-409]mmmm")</f>
        <v>March</v>
      </c>
      <c r="L298" s="1">
        <f>MATCH(K298, {"January";"February";"March";"April";"May";"June";"July";"August";"September";"October";"November";"December"}, 0)</f>
        <v>3</v>
      </c>
      <c r="M298" s="1" t="str" cm="1">
        <f t="array" ref="M298">IF(patients[[#This Row],[length_of_stay]]&gt;patients!$N$2:$N$2,"Over average","Less than average")</f>
        <v>Over average</v>
      </c>
    </row>
    <row r="299" spans="2:13" x14ac:dyDescent="0.25">
      <c r="B299" s="1" t="s">
        <v>604</v>
      </c>
      <c r="C299" s="1" t="s">
        <v>605</v>
      </c>
      <c r="D299">
        <v>50</v>
      </c>
      <c r="E299" s="2">
        <v>45809</v>
      </c>
      <c r="F299" s="2">
        <v>45810</v>
      </c>
      <c r="G299" s="1" t="s">
        <v>20</v>
      </c>
      <c r="H299">
        <v>64</v>
      </c>
      <c r="I299" s="19">
        <f>patients[[#This Row],[departure_date]]-patients[[#This Row],[arrival_date]]</f>
        <v>1</v>
      </c>
      <c r="J299" t="str">
        <f>IF(patients[[#This Row],[age]] &lt; 18,"0-17",IF(patients[[#This Row],[age]] &lt; 40,"18-39",IF(patients[[#This Row],[age]] &lt; 65,"40-64","65+")))</f>
        <v>40-64</v>
      </c>
      <c r="K299" s="1" t="str">
        <f>TEXT(patients[[#This Row],[arrival_date]],"[$-409]mmmm")</f>
        <v>June</v>
      </c>
      <c r="L299" s="1">
        <f>MATCH(K299, {"January";"February";"March";"April";"May";"June";"July";"August";"September";"October";"November";"December"}, 0)</f>
        <v>6</v>
      </c>
      <c r="M299" s="1" t="str" cm="1">
        <f t="array" ref="M299">IF(patients[[#This Row],[length_of_stay]]&gt;patients!$N$2:$N$2,"Over average","Less than average")</f>
        <v>Less than average</v>
      </c>
    </row>
    <row r="300" spans="2:13" x14ac:dyDescent="0.25">
      <c r="B300" s="1" t="s">
        <v>606</v>
      </c>
      <c r="C300" s="1" t="s">
        <v>607</v>
      </c>
      <c r="D300">
        <v>19</v>
      </c>
      <c r="E300" s="2">
        <v>45889</v>
      </c>
      <c r="F300" s="2">
        <v>45899</v>
      </c>
      <c r="G300" s="1" t="s">
        <v>17</v>
      </c>
      <c r="H300">
        <v>90</v>
      </c>
      <c r="I300" s="19">
        <f>patients[[#This Row],[departure_date]]-patients[[#This Row],[arrival_date]]</f>
        <v>10</v>
      </c>
      <c r="J300" t="str">
        <f>IF(patients[[#This Row],[age]] &lt; 18,"0-17",IF(patients[[#This Row],[age]] &lt; 40,"18-39",IF(patients[[#This Row],[age]] &lt; 65,"40-64","65+")))</f>
        <v>18-39</v>
      </c>
      <c r="K300" s="1" t="str">
        <f>TEXT(patients[[#This Row],[arrival_date]],"[$-409]mmmm")</f>
        <v>August</v>
      </c>
      <c r="L300" s="1">
        <f>MATCH(K300, {"January";"February";"March";"April";"May";"June";"July";"August";"September";"October";"November";"December"}, 0)</f>
        <v>8</v>
      </c>
      <c r="M300" s="1" t="str" cm="1">
        <f t="array" ref="M300">IF(patients[[#This Row],[length_of_stay]]&gt;patients!$N$2:$N$2,"Over average","Less than average")</f>
        <v>Over average</v>
      </c>
    </row>
    <row r="301" spans="2:13" x14ac:dyDescent="0.25">
      <c r="B301" s="1" t="s">
        <v>608</v>
      </c>
      <c r="C301" s="1" t="s">
        <v>609</v>
      </c>
      <c r="D301">
        <v>10</v>
      </c>
      <c r="E301" s="2">
        <v>45868</v>
      </c>
      <c r="F301" s="2">
        <v>45875</v>
      </c>
      <c r="G301" s="1" t="s">
        <v>20</v>
      </c>
      <c r="H301">
        <v>87</v>
      </c>
      <c r="I301" s="19">
        <f>patients[[#This Row],[departure_date]]-patients[[#This Row],[arrival_date]]</f>
        <v>7</v>
      </c>
      <c r="J301" t="str">
        <f>IF(patients[[#This Row],[age]] &lt; 18,"0-17",IF(patients[[#This Row],[age]] &lt; 40,"18-39",IF(patients[[#This Row],[age]] &lt; 65,"40-64","65+")))</f>
        <v>0-17</v>
      </c>
      <c r="K301" s="1" t="str">
        <f>TEXT(patients[[#This Row],[arrival_date]],"[$-409]mmmm")</f>
        <v>July</v>
      </c>
      <c r="L301" s="1">
        <f>MATCH(K301, {"January";"February";"March";"April";"May";"June";"July";"August";"September";"October";"November";"December"}, 0)</f>
        <v>7</v>
      </c>
      <c r="M301" s="1" t="str" cm="1">
        <f t="array" ref="M301">IF(patients[[#This Row],[length_of_stay]]&gt;patients!$N$2:$N$2,"Over average","Less than average")</f>
        <v>Less than average</v>
      </c>
    </row>
    <row r="302" spans="2:13" x14ac:dyDescent="0.25">
      <c r="B302" s="1" t="s">
        <v>610</v>
      </c>
      <c r="C302" s="1" t="s">
        <v>611</v>
      </c>
      <c r="D302">
        <v>50</v>
      </c>
      <c r="E302" s="2">
        <v>45918</v>
      </c>
      <c r="F302" s="2">
        <v>45923</v>
      </c>
      <c r="G302" s="1" t="s">
        <v>14</v>
      </c>
      <c r="H302">
        <v>89</v>
      </c>
      <c r="I302" s="19">
        <f>patients[[#This Row],[departure_date]]-patients[[#This Row],[arrival_date]]</f>
        <v>5</v>
      </c>
      <c r="J302" t="str">
        <f>IF(patients[[#This Row],[age]] &lt; 18,"0-17",IF(patients[[#This Row],[age]] &lt; 40,"18-39",IF(patients[[#This Row],[age]] &lt; 65,"40-64","65+")))</f>
        <v>40-64</v>
      </c>
      <c r="K302" s="1" t="str">
        <f>TEXT(patients[[#This Row],[arrival_date]],"[$-409]mmmm")</f>
        <v>September</v>
      </c>
      <c r="L302" s="1">
        <f>MATCH(K302, {"January";"February";"March";"April";"May";"June";"July";"August";"September";"October";"November";"December"}, 0)</f>
        <v>9</v>
      </c>
      <c r="M302" s="1" t="str" cm="1">
        <f t="array" ref="M302">IF(patients[[#This Row],[length_of_stay]]&gt;patients!$N$2:$N$2,"Over average","Less than average")</f>
        <v>Less than average</v>
      </c>
    </row>
    <row r="303" spans="2:13" x14ac:dyDescent="0.25">
      <c r="B303" s="1" t="s">
        <v>612</v>
      </c>
      <c r="C303" s="1" t="s">
        <v>613</v>
      </c>
      <c r="D303">
        <v>7</v>
      </c>
      <c r="E303" s="2">
        <v>45795</v>
      </c>
      <c r="F303" s="2">
        <v>45801</v>
      </c>
      <c r="G303" s="1" t="s">
        <v>20</v>
      </c>
      <c r="H303">
        <v>91</v>
      </c>
      <c r="I303" s="19">
        <f>patients[[#This Row],[departure_date]]-patients[[#This Row],[arrival_date]]</f>
        <v>6</v>
      </c>
      <c r="J303" t="str">
        <f>IF(patients[[#This Row],[age]] &lt; 18,"0-17",IF(patients[[#This Row],[age]] &lt; 40,"18-39",IF(patients[[#This Row],[age]] &lt; 65,"40-64","65+")))</f>
        <v>0-17</v>
      </c>
      <c r="K303" s="1" t="str">
        <f>TEXT(patients[[#This Row],[arrival_date]],"[$-409]mmmm")</f>
        <v>May</v>
      </c>
      <c r="L303" s="1">
        <f>MATCH(K303, {"January";"February";"March";"April";"May";"June";"July";"August";"September";"October";"November";"December"}, 0)</f>
        <v>5</v>
      </c>
      <c r="M303" s="1" t="str" cm="1">
        <f t="array" ref="M303">IF(patients[[#This Row],[length_of_stay]]&gt;patients!$N$2:$N$2,"Over average","Less than average")</f>
        <v>Less than average</v>
      </c>
    </row>
    <row r="304" spans="2:13" x14ac:dyDescent="0.25">
      <c r="B304" s="1" t="s">
        <v>614</v>
      </c>
      <c r="C304" s="1" t="s">
        <v>615</v>
      </c>
      <c r="D304">
        <v>80</v>
      </c>
      <c r="E304" s="2">
        <v>45793</v>
      </c>
      <c r="F304" s="2">
        <v>45801</v>
      </c>
      <c r="G304" s="1" t="s">
        <v>14</v>
      </c>
      <c r="H304">
        <v>84</v>
      </c>
      <c r="I304" s="19">
        <f>patients[[#This Row],[departure_date]]-patients[[#This Row],[arrival_date]]</f>
        <v>8</v>
      </c>
      <c r="J304" t="str">
        <f>IF(patients[[#This Row],[age]] &lt; 18,"0-17",IF(patients[[#This Row],[age]] &lt; 40,"18-39",IF(patients[[#This Row],[age]] &lt; 65,"40-64","65+")))</f>
        <v>65+</v>
      </c>
      <c r="K304" s="1" t="str">
        <f>TEXT(patients[[#This Row],[arrival_date]],"[$-409]mmmm")</f>
        <v>May</v>
      </c>
      <c r="L304" s="1">
        <f>MATCH(K304, {"January";"February";"March";"April";"May";"June";"July";"August";"September";"October";"November";"December"}, 0)</f>
        <v>5</v>
      </c>
      <c r="M304" s="1" t="str" cm="1">
        <f t="array" ref="M304">IF(patients[[#This Row],[length_of_stay]]&gt;patients!$N$2:$N$2,"Over average","Less than average")</f>
        <v>Over average</v>
      </c>
    </row>
    <row r="305" spans="2:13" x14ac:dyDescent="0.25">
      <c r="B305" s="1" t="s">
        <v>616</v>
      </c>
      <c r="C305" s="1" t="s">
        <v>617</v>
      </c>
      <c r="D305">
        <v>72</v>
      </c>
      <c r="E305" s="2">
        <v>45706</v>
      </c>
      <c r="F305" s="2">
        <v>45710</v>
      </c>
      <c r="G305" s="1" t="s">
        <v>9</v>
      </c>
      <c r="H305">
        <v>63</v>
      </c>
      <c r="I305" s="19">
        <f>patients[[#This Row],[departure_date]]-patients[[#This Row],[arrival_date]]</f>
        <v>4</v>
      </c>
      <c r="J305" t="str">
        <f>IF(patients[[#This Row],[age]] &lt; 18,"0-17",IF(patients[[#This Row],[age]] &lt; 40,"18-39",IF(patients[[#This Row],[age]] &lt; 65,"40-64","65+")))</f>
        <v>65+</v>
      </c>
      <c r="K305" s="1" t="str">
        <f>TEXT(patients[[#This Row],[arrival_date]],"[$-409]mmmm")</f>
        <v>February</v>
      </c>
      <c r="L305" s="1">
        <f>MATCH(K305, {"January";"February";"March";"April";"May";"June";"July";"August";"September";"October";"November";"December"}, 0)</f>
        <v>2</v>
      </c>
      <c r="M305" s="1" t="str" cm="1">
        <f t="array" ref="M305">IF(patients[[#This Row],[length_of_stay]]&gt;patients!$N$2:$N$2,"Over average","Less than average")</f>
        <v>Less than average</v>
      </c>
    </row>
    <row r="306" spans="2:13" x14ac:dyDescent="0.25">
      <c r="B306" s="1" t="s">
        <v>618</v>
      </c>
      <c r="C306" s="1" t="s">
        <v>619</v>
      </c>
      <c r="D306">
        <v>77</v>
      </c>
      <c r="E306" s="2">
        <v>45826</v>
      </c>
      <c r="F306" s="2">
        <v>45835</v>
      </c>
      <c r="G306" s="1" t="s">
        <v>17</v>
      </c>
      <c r="H306">
        <v>69</v>
      </c>
      <c r="I306" s="19">
        <f>patients[[#This Row],[departure_date]]-patients[[#This Row],[arrival_date]]</f>
        <v>9</v>
      </c>
      <c r="J306" t="str">
        <f>IF(patients[[#This Row],[age]] &lt; 18,"0-17",IF(patients[[#This Row],[age]] &lt; 40,"18-39",IF(patients[[#This Row],[age]] &lt; 65,"40-64","65+")))</f>
        <v>65+</v>
      </c>
      <c r="K306" s="1" t="str">
        <f>TEXT(patients[[#This Row],[arrival_date]],"[$-409]mmmm")</f>
        <v>June</v>
      </c>
      <c r="L306" s="1">
        <f>MATCH(K306, {"January";"February";"March";"April";"May";"June";"July";"August";"September";"October";"November";"December"}, 0)</f>
        <v>6</v>
      </c>
      <c r="M306" s="1" t="str" cm="1">
        <f t="array" ref="M306">IF(patients[[#This Row],[length_of_stay]]&gt;patients!$N$2:$N$2,"Over average","Less than average")</f>
        <v>Over average</v>
      </c>
    </row>
    <row r="307" spans="2:13" x14ac:dyDescent="0.25">
      <c r="B307" s="1" t="s">
        <v>620</v>
      </c>
      <c r="C307" s="1" t="s">
        <v>621</v>
      </c>
      <c r="D307">
        <v>20</v>
      </c>
      <c r="E307" s="2">
        <v>45797</v>
      </c>
      <c r="F307" s="2">
        <v>45808</v>
      </c>
      <c r="G307" s="1" t="s">
        <v>20</v>
      </c>
      <c r="H307">
        <v>99</v>
      </c>
      <c r="I307" s="19">
        <f>patients[[#This Row],[departure_date]]-patients[[#This Row],[arrival_date]]</f>
        <v>11</v>
      </c>
      <c r="J307" t="str">
        <f>IF(patients[[#This Row],[age]] &lt; 18,"0-17",IF(patients[[#This Row],[age]] &lt; 40,"18-39",IF(patients[[#This Row],[age]] &lt; 65,"40-64","65+")))</f>
        <v>18-39</v>
      </c>
      <c r="K307" s="1" t="str">
        <f>TEXT(patients[[#This Row],[arrival_date]],"[$-409]mmmm")</f>
        <v>May</v>
      </c>
      <c r="L307" s="1">
        <f>MATCH(K307, {"January";"February";"March";"April";"May";"June";"July";"August";"September";"October";"November";"December"}, 0)</f>
        <v>5</v>
      </c>
      <c r="M307" s="1" t="str" cm="1">
        <f t="array" ref="M307">IF(patients[[#This Row],[length_of_stay]]&gt;patients!$N$2:$N$2,"Over average","Less than average")</f>
        <v>Over average</v>
      </c>
    </row>
    <row r="308" spans="2:13" x14ac:dyDescent="0.25">
      <c r="B308" s="1" t="s">
        <v>622</v>
      </c>
      <c r="C308" s="1" t="s">
        <v>623</v>
      </c>
      <c r="D308">
        <v>1</v>
      </c>
      <c r="E308" s="2">
        <v>45926</v>
      </c>
      <c r="F308" s="2">
        <v>45931</v>
      </c>
      <c r="G308" s="1" t="s">
        <v>9</v>
      </c>
      <c r="H308">
        <v>91</v>
      </c>
      <c r="I308" s="19">
        <f>patients[[#This Row],[departure_date]]-patients[[#This Row],[arrival_date]]</f>
        <v>5</v>
      </c>
      <c r="J308" t="str">
        <f>IF(patients[[#This Row],[age]] &lt; 18,"0-17",IF(patients[[#This Row],[age]] &lt; 40,"18-39",IF(patients[[#This Row],[age]] &lt; 65,"40-64","65+")))</f>
        <v>0-17</v>
      </c>
      <c r="K308" s="1" t="str">
        <f>TEXT(patients[[#This Row],[arrival_date]],"[$-409]mmmm")</f>
        <v>September</v>
      </c>
      <c r="L308" s="1">
        <f>MATCH(K308, {"January";"February";"March";"April";"May";"June";"July";"August";"September";"October";"November";"December"}, 0)</f>
        <v>9</v>
      </c>
      <c r="M308" s="1" t="str" cm="1">
        <f t="array" ref="M308">IF(patients[[#This Row],[length_of_stay]]&gt;patients!$N$2:$N$2,"Over average","Less than average")</f>
        <v>Less than average</v>
      </c>
    </row>
    <row r="309" spans="2:13" x14ac:dyDescent="0.25">
      <c r="B309" s="1" t="s">
        <v>624</v>
      </c>
      <c r="C309" s="1" t="s">
        <v>625</v>
      </c>
      <c r="D309">
        <v>15</v>
      </c>
      <c r="E309" s="2">
        <v>45945</v>
      </c>
      <c r="F309" s="2">
        <v>45957</v>
      </c>
      <c r="G309" s="1" t="s">
        <v>20</v>
      </c>
      <c r="H309">
        <v>93</v>
      </c>
      <c r="I309" s="19">
        <f>patients[[#This Row],[departure_date]]-patients[[#This Row],[arrival_date]]</f>
        <v>12</v>
      </c>
      <c r="J309" t="str">
        <f>IF(patients[[#This Row],[age]] &lt; 18,"0-17",IF(patients[[#This Row],[age]] &lt; 40,"18-39",IF(patients[[#This Row],[age]] &lt; 65,"40-64","65+")))</f>
        <v>0-17</v>
      </c>
      <c r="K309" s="1" t="str">
        <f>TEXT(patients[[#This Row],[arrival_date]],"[$-409]mmmm")</f>
        <v>October</v>
      </c>
      <c r="L309" s="1">
        <f>MATCH(K309, {"January";"February";"March";"April";"May";"June";"July";"August";"September";"October";"November";"December"}, 0)</f>
        <v>10</v>
      </c>
      <c r="M309" s="1" t="str" cm="1">
        <f t="array" ref="M309">IF(patients[[#This Row],[length_of_stay]]&gt;patients!$N$2:$N$2,"Over average","Less than average")</f>
        <v>Over average</v>
      </c>
    </row>
    <row r="310" spans="2:13" x14ac:dyDescent="0.25">
      <c r="B310" s="1" t="s">
        <v>626</v>
      </c>
      <c r="C310" s="1" t="s">
        <v>627</v>
      </c>
      <c r="D310">
        <v>10</v>
      </c>
      <c r="E310" s="2">
        <v>45928</v>
      </c>
      <c r="F310" s="2">
        <v>45929</v>
      </c>
      <c r="G310" s="1" t="s">
        <v>9</v>
      </c>
      <c r="H310">
        <v>99</v>
      </c>
      <c r="I310" s="19">
        <f>patients[[#This Row],[departure_date]]-patients[[#This Row],[arrival_date]]</f>
        <v>1</v>
      </c>
      <c r="J310" t="str">
        <f>IF(patients[[#This Row],[age]] &lt; 18,"0-17",IF(patients[[#This Row],[age]] &lt; 40,"18-39",IF(patients[[#This Row],[age]] &lt; 65,"40-64","65+")))</f>
        <v>0-17</v>
      </c>
      <c r="K310" s="1" t="str">
        <f>TEXT(patients[[#This Row],[arrival_date]],"[$-409]mmmm")</f>
        <v>September</v>
      </c>
      <c r="L310" s="1">
        <f>MATCH(K310, {"January";"February";"March";"April";"May";"June";"July";"August";"September";"October";"November";"December"}, 0)</f>
        <v>9</v>
      </c>
      <c r="M310" s="1" t="str" cm="1">
        <f t="array" ref="M310">IF(patients[[#This Row],[length_of_stay]]&gt;patients!$N$2:$N$2,"Over average","Less than average")</f>
        <v>Less than average</v>
      </c>
    </row>
    <row r="311" spans="2:13" x14ac:dyDescent="0.25">
      <c r="B311" s="1" t="s">
        <v>628</v>
      </c>
      <c r="C311" s="1" t="s">
        <v>629</v>
      </c>
      <c r="D311">
        <v>17</v>
      </c>
      <c r="E311" s="2">
        <v>45810</v>
      </c>
      <c r="F311" s="2">
        <v>45818</v>
      </c>
      <c r="G311" s="1" t="s">
        <v>14</v>
      </c>
      <c r="H311">
        <v>73</v>
      </c>
      <c r="I311" s="19">
        <f>patients[[#This Row],[departure_date]]-patients[[#This Row],[arrival_date]]</f>
        <v>8</v>
      </c>
      <c r="J311" t="str">
        <f>IF(patients[[#This Row],[age]] &lt; 18,"0-17",IF(patients[[#This Row],[age]] &lt; 40,"18-39",IF(patients[[#This Row],[age]] &lt; 65,"40-64","65+")))</f>
        <v>0-17</v>
      </c>
      <c r="K311" s="1" t="str">
        <f>TEXT(patients[[#This Row],[arrival_date]],"[$-409]mmmm")</f>
        <v>June</v>
      </c>
      <c r="L311" s="1">
        <f>MATCH(K311, {"January";"February";"March";"April";"May";"June";"July";"August";"September";"October";"November";"December"}, 0)</f>
        <v>6</v>
      </c>
      <c r="M311" s="1" t="str" cm="1">
        <f t="array" ref="M311">IF(patients[[#This Row],[length_of_stay]]&gt;patients!$N$2:$N$2,"Over average","Less than average")</f>
        <v>Over average</v>
      </c>
    </row>
    <row r="312" spans="2:13" x14ac:dyDescent="0.25">
      <c r="B312" s="1" t="s">
        <v>630</v>
      </c>
      <c r="C312" s="1" t="s">
        <v>631</v>
      </c>
      <c r="D312">
        <v>88</v>
      </c>
      <c r="E312" s="2">
        <v>45935</v>
      </c>
      <c r="F312" s="2">
        <v>45939</v>
      </c>
      <c r="G312" s="1" t="s">
        <v>9</v>
      </c>
      <c r="H312">
        <v>89</v>
      </c>
      <c r="I312" s="19">
        <f>patients[[#This Row],[departure_date]]-patients[[#This Row],[arrival_date]]</f>
        <v>4</v>
      </c>
      <c r="J312" t="str">
        <f>IF(patients[[#This Row],[age]] &lt; 18,"0-17",IF(patients[[#This Row],[age]] &lt; 40,"18-39",IF(patients[[#This Row],[age]] &lt; 65,"40-64","65+")))</f>
        <v>65+</v>
      </c>
      <c r="K312" s="1" t="str">
        <f>TEXT(patients[[#This Row],[arrival_date]],"[$-409]mmmm")</f>
        <v>October</v>
      </c>
      <c r="L312" s="1">
        <f>MATCH(K312, {"January";"February";"March";"April";"May";"June";"July";"August";"September";"October";"November";"December"}, 0)</f>
        <v>10</v>
      </c>
      <c r="M312" s="1" t="str" cm="1">
        <f t="array" ref="M312">IF(patients[[#This Row],[length_of_stay]]&gt;patients!$N$2:$N$2,"Over average","Less than average")</f>
        <v>Less than average</v>
      </c>
    </row>
    <row r="313" spans="2:13" x14ac:dyDescent="0.25">
      <c r="B313" s="1" t="s">
        <v>632</v>
      </c>
      <c r="C313" s="1" t="s">
        <v>633</v>
      </c>
      <c r="D313">
        <v>83</v>
      </c>
      <c r="E313" s="2">
        <v>45829</v>
      </c>
      <c r="F313" s="2">
        <v>45832</v>
      </c>
      <c r="G313" s="1" t="s">
        <v>17</v>
      </c>
      <c r="H313">
        <v>80</v>
      </c>
      <c r="I313" s="19">
        <f>patients[[#This Row],[departure_date]]-patients[[#This Row],[arrival_date]]</f>
        <v>3</v>
      </c>
      <c r="J313" t="str">
        <f>IF(patients[[#This Row],[age]] &lt; 18,"0-17",IF(patients[[#This Row],[age]] &lt; 40,"18-39",IF(patients[[#This Row],[age]] &lt; 65,"40-64","65+")))</f>
        <v>65+</v>
      </c>
      <c r="K313" s="1" t="str">
        <f>TEXT(patients[[#This Row],[arrival_date]],"[$-409]mmmm")</f>
        <v>June</v>
      </c>
      <c r="L313" s="1">
        <f>MATCH(K313, {"January";"February";"March";"April";"May";"June";"July";"August";"September";"October";"November";"December"}, 0)</f>
        <v>6</v>
      </c>
      <c r="M313" s="1" t="str" cm="1">
        <f t="array" ref="M313">IF(patients[[#This Row],[length_of_stay]]&gt;patients!$N$2:$N$2,"Over average","Less than average")</f>
        <v>Less than average</v>
      </c>
    </row>
    <row r="314" spans="2:13" x14ac:dyDescent="0.25">
      <c r="B314" s="1" t="s">
        <v>634</v>
      </c>
      <c r="C314" s="1" t="s">
        <v>635</v>
      </c>
      <c r="D314">
        <v>31</v>
      </c>
      <c r="E314" s="2">
        <v>45776</v>
      </c>
      <c r="F314" s="2">
        <v>45783</v>
      </c>
      <c r="G314" s="1" t="s">
        <v>9</v>
      </c>
      <c r="H314">
        <v>71</v>
      </c>
      <c r="I314" s="19">
        <f>patients[[#This Row],[departure_date]]-patients[[#This Row],[arrival_date]]</f>
        <v>7</v>
      </c>
      <c r="J314" t="str">
        <f>IF(patients[[#This Row],[age]] &lt; 18,"0-17",IF(patients[[#This Row],[age]] &lt; 40,"18-39",IF(patients[[#This Row],[age]] &lt; 65,"40-64","65+")))</f>
        <v>18-39</v>
      </c>
      <c r="K314" s="1" t="str">
        <f>TEXT(patients[[#This Row],[arrival_date]],"[$-409]mmmm")</f>
        <v>April</v>
      </c>
      <c r="L314" s="1">
        <f>MATCH(K314, {"January";"February";"March";"April";"May";"June";"July";"August";"September";"October";"November";"December"}, 0)</f>
        <v>4</v>
      </c>
      <c r="M314" s="1" t="str" cm="1">
        <f t="array" ref="M314">IF(patients[[#This Row],[length_of_stay]]&gt;patients!$N$2:$N$2,"Over average","Less than average")</f>
        <v>Less than average</v>
      </c>
    </row>
    <row r="315" spans="2:13" x14ac:dyDescent="0.25">
      <c r="B315" s="1" t="s">
        <v>636</v>
      </c>
      <c r="C315" s="1" t="s">
        <v>637</v>
      </c>
      <c r="D315">
        <v>46</v>
      </c>
      <c r="E315" s="2">
        <v>45806</v>
      </c>
      <c r="F315" s="2">
        <v>45819</v>
      </c>
      <c r="G315" s="1" t="s">
        <v>9</v>
      </c>
      <c r="H315">
        <v>80</v>
      </c>
      <c r="I315" s="19">
        <f>patients[[#This Row],[departure_date]]-patients[[#This Row],[arrival_date]]</f>
        <v>13</v>
      </c>
      <c r="J315" t="str">
        <f>IF(patients[[#This Row],[age]] &lt; 18,"0-17",IF(patients[[#This Row],[age]] &lt; 40,"18-39",IF(patients[[#This Row],[age]] &lt; 65,"40-64","65+")))</f>
        <v>40-64</v>
      </c>
      <c r="K315" s="1" t="str">
        <f>TEXT(patients[[#This Row],[arrival_date]],"[$-409]mmmm")</f>
        <v>May</v>
      </c>
      <c r="L315" s="1">
        <f>MATCH(K315, {"January";"February";"March";"April";"May";"June";"July";"August";"September";"October";"November";"December"}, 0)</f>
        <v>5</v>
      </c>
      <c r="M315" s="1" t="str" cm="1">
        <f t="array" ref="M315">IF(patients[[#This Row],[length_of_stay]]&gt;patients!$N$2:$N$2,"Over average","Less than average")</f>
        <v>Over average</v>
      </c>
    </row>
    <row r="316" spans="2:13" x14ac:dyDescent="0.25">
      <c r="B316" s="1" t="s">
        <v>638</v>
      </c>
      <c r="C316" s="1" t="s">
        <v>639</v>
      </c>
      <c r="D316">
        <v>7</v>
      </c>
      <c r="E316" s="2">
        <v>46017</v>
      </c>
      <c r="F316" s="2">
        <v>46031</v>
      </c>
      <c r="G316" s="1" t="s">
        <v>9</v>
      </c>
      <c r="H316">
        <v>66</v>
      </c>
      <c r="I316" s="19">
        <f>patients[[#This Row],[departure_date]]-patients[[#This Row],[arrival_date]]</f>
        <v>14</v>
      </c>
      <c r="J316" t="str">
        <f>IF(patients[[#This Row],[age]] &lt; 18,"0-17",IF(patients[[#This Row],[age]] &lt; 40,"18-39",IF(patients[[#This Row],[age]] &lt; 65,"40-64","65+")))</f>
        <v>0-17</v>
      </c>
      <c r="K316" s="1" t="str">
        <f>TEXT(patients[[#This Row],[arrival_date]],"[$-409]mmmm")</f>
        <v>December</v>
      </c>
      <c r="L316" s="1">
        <f>MATCH(K316, {"January";"February";"March";"April";"May";"June";"July";"August";"September";"October";"November";"December"}, 0)</f>
        <v>12</v>
      </c>
      <c r="M316" s="1" t="str" cm="1">
        <f t="array" ref="M316">IF(patients[[#This Row],[length_of_stay]]&gt;patients!$N$2:$N$2,"Over average","Less than average")</f>
        <v>Over average</v>
      </c>
    </row>
    <row r="317" spans="2:13" x14ac:dyDescent="0.25">
      <c r="B317" s="1" t="s">
        <v>640</v>
      </c>
      <c r="C317" s="1" t="s">
        <v>641</v>
      </c>
      <c r="D317">
        <v>22</v>
      </c>
      <c r="E317" s="2">
        <v>45881</v>
      </c>
      <c r="F317" s="2">
        <v>45892</v>
      </c>
      <c r="G317" s="1" t="s">
        <v>20</v>
      </c>
      <c r="H317">
        <v>81</v>
      </c>
      <c r="I317" s="19">
        <f>patients[[#This Row],[departure_date]]-patients[[#This Row],[arrival_date]]</f>
        <v>11</v>
      </c>
      <c r="J317" t="str">
        <f>IF(patients[[#This Row],[age]] &lt; 18,"0-17",IF(patients[[#This Row],[age]] &lt; 40,"18-39",IF(patients[[#This Row],[age]] &lt; 65,"40-64","65+")))</f>
        <v>18-39</v>
      </c>
      <c r="K317" s="1" t="str">
        <f>TEXT(patients[[#This Row],[arrival_date]],"[$-409]mmmm")</f>
        <v>August</v>
      </c>
      <c r="L317" s="1">
        <f>MATCH(K317, {"January";"February";"March";"April";"May";"June";"July";"August";"September";"October";"November";"December"}, 0)</f>
        <v>8</v>
      </c>
      <c r="M317" s="1" t="str" cm="1">
        <f t="array" ref="M317">IF(patients[[#This Row],[length_of_stay]]&gt;patients!$N$2:$N$2,"Over average","Less than average")</f>
        <v>Over average</v>
      </c>
    </row>
    <row r="318" spans="2:13" x14ac:dyDescent="0.25">
      <c r="B318" s="1" t="s">
        <v>642</v>
      </c>
      <c r="C318" s="1" t="s">
        <v>643</v>
      </c>
      <c r="D318">
        <v>21</v>
      </c>
      <c r="E318" s="2">
        <v>46002</v>
      </c>
      <c r="F318" s="2">
        <v>46008</v>
      </c>
      <c r="G318" s="1" t="s">
        <v>14</v>
      </c>
      <c r="H318">
        <v>87</v>
      </c>
      <c r="I318" s="19">
        <f>patients[[#This Row],[departure_date]]-patients[[#This Row],[arrival_date]]</f>
        <v>6</v>
      </c>
      <c r="J318" t="str">
        <f>IF(patients[[#This Row],[age]] &lt; 18,"0-17",IF(patients[[#This Row],[age]] &lt; 40,"18-39",IF(patients[[#This Row],[age]] &lt; 65,"40-64","65+")))</f>
        <v>18-39</v>
      </c>
      <c r="K318" s="1" t="str">
        <f>TEXT(patients[[#This Row],[arrival_date]],"[$-409]mmmm")</f>
        <v>December</v>
      </c>
      <c r="L318" s="1">
        <f>MATCH(K318, {"January";"February";"March";"April";"May";"June";"July";"August";"September";"October";"November";"December"}, 0)</f>
        <v>12</v>
      </c>
      <c r="M318" s="1" t="str" cm="1">
        <f t="array" ref="M318">IF(patients[[#This Row],[length_of_stay]]&gt;patients!$N$2:$N$2,"Over average","Less than average")</f>
        <v>Less than average</v>
      </c>
    </row>
    <row r="319" spans="2:13" x14ac:dyDescent="0.25">
      <c r="B319" s="1" t="s">
        <v>644</v>
      </c>
      <c r="C319" s="1" t="s">
        <v>645</v>
      </c>
      <c r="D319">
        <v>28</v>
      </c>
      <c r="E319" s="2">
        <v>45915</v>
      </c>
      <c r="F319" s="2">
        <v>45928</v>
      </c>
      <c r="G319" s="1" t="s">
        <v>17</v>
      </c>
      <c r="H319">
        <v>80</v>
      </c>
      <c r="I319" s="19">
        <f>patients[[#This Row],[departure_date]]-patients[[#This Row],[arrival_date]]</f>
        <v>13</v>
      </c>
      <c r="J319" t="str">
        <f>IF(patients[[#This Row],[age]] &lt; 18,"0-17",IF(patients[[#This Row],[age]] &lt; 40,"18-39",IF(patients[[#This Row],[age]] &lt; 65,"40-64","65+")))</f>
        <v>18-39</v>
      </c>
      <c r="K319" s="1" t="str">
        <f>TEXT(patients[[#This Row],[arrival_date]],"[$-409]mmmm")</f>
        <v>September</v>
      </c>
      <c r="L319" s="1">
        <f>MATCH(K319, {"January";"February";"March";"April";"May";"June";"July";"August";"September";"October";"November";"December"}, 0)</f>
        <v>9</v>
      </c>
      <c r="M319" s="1" t="str" cm="1">
        <f t="array" ref="M319">IF(patients[[#This Row],[length_of_stay]]&gt;patients!$N$2:$N$2,"Over average","Less than average")</f>
        <v>Over average</v>
      </c>
    </row>
    <row r="320" spans="2:13" x14ac:dyDescent="0.25">
      <c r="B320" s="1" t="s">
        <v>646</v>
      </c>
      <c r="C320" s="1" t="s">
        <v>647</v>
      </c>
      <c r="D320">
        <v>78</v>
      </c>
      <c r="E320" s="2">
        <v>45940</v>
      </c>
      <c r="F320" s="2">
        <v>45942</v>
      </c>
      <c r="G320" s="1" t="s">
        <v>20</v>
      </c>
      <c r="H320">
        <v>90</v>
      </c>
      <c r="I320" s="19">
        <f>patients[[#This Row],[departure_date]]-patients[[#This Row],[arrival_date]]</f>
        <v>2</v>
      </c>
      <c r="J320" t="str">
        <f>IF(patients[[#This Row],[age]] &lt; 18,"0-17",IF(patients[[#This Row],[age]] &lt; 40,"18-39",IF(patients[[#This Row],[age]] &lt; 65,"40-64","65+")))</f>
        <v>65+</v>
      </c>
      <c r="K320" s="1" t="str">
        <f>TEXT(patients[[#This Row],[arrival_date]],"[$-409]mmmm")</f>
        <v>October</v>
      </c>
      <c r="L320" s="1">
        <f>MATCH(K320, {"January";"February";"March";"April";"May";"June";"July";"August";"September";"October";"November";"December"}, 0)</f>
        <v>10</v>
      </c>
      <c r="M320" s="1" t="str" cm="1">
        <f t="array" ref="M320">IF(patients[[#This Row],[length_of_stay]]&gt;patients!$N$2:$N$2,"Over average","Less than average")</f>
        <v>Less than average</v>
      </c>
    </row>
    <row r="321" spans="2:13" x14ac:dyDescent="0.25">
      <c r="B321" s="1" t="s">
        <v>648</v>
      </c>
      <c r="C321" s="1" t="s">
        <v>649</v>
      </c>
      <c r="D321">
        <v>78</v>
      </c>
      <c r="E321" s="2">
        <v>45745</v>
      </c>
      <c r="F321" s="2">
        <v>45757</v>
      </c>
      <c r="G321" s="1" t="s">
        <v>14</v>
      </c>
      <c r="H321">
        <v>72</v>
      </c>
      <c r="I321" s="19">
        <f>patients[[#This Row],[departure_date]]-patients[[#This Row],[arrival_date]]</f>
        <v>12</v>
      </c>
      <c r="J321" t="str">
        <f>IF(patients[[#This Row],[age]] &lt; 18,"0-17",IF(patients[[#This Row],[age]] &lt; 40,"18-39",IF(patients[[#This Row],[age]] &lt; 65,"40-64","65+")))</f>
        <v>65+</v>
      </c>
      <c r="K321" s="1" t="str">
        <f>TEXT(patients[[#This Row],[arrival_date]],"[$-409]mmmm")</f>
        <v>March</v>
      </c>
      <c r="L321" s="1">
        <f>MATCH(K321, {"January";"February";"March";"April";"May";"June";"July";"August";"September";"October";"November";"December"}, 0)</f>
        <v>3</v>
      </c>
      <c r="M321" s="1" t="str" cm="1">
        <f t="array" ref="M321">IF(patients[[#This Row],[length_of_stay]]&gt;patients!$N$2:$N$2,"Over average","Less than average")</f>
        <v>Over average</v>
      </c>
    </row>
    <row r="322" spans="2:13" x14ac:dyDescent="0.25">
      <c r="B322" s="1" t="s">
        <v>650</v>
      </c>
      <c r="C322" s="1" t="s">
        <v>651</v>
      </c>
      <c r="D322">
        <v>21</v>
      </c>
      <c r="E322" s="2">
        <v>45846</v>
      </c>
      <c r="F322" s="2">
        <v>45847</v>
      </c>
      <c r="G322" s="1" t="s">
        <v>14</v>
      </c>
      <c r="H322">
        <v>62</v>
      </c>
      <c r="I322" s="19">
        <f>patients[[#This Row],[departure_date]]-patients[[#This Row],[arrival_date]]</f>
        <v>1</v>
      </c>
      <c r="J322" t="str">
        <f>IF(patients[[#This Row],[age]] &lt; 18,"0-17",IF(patients[[#This Row],[age]] &lt; 40,"18-39",IF(patients[[#This Row],[age]] &lt; 65,"40-64","65+")))</f>
        <v>18-39</v>
      </c>
      <c r="K322" s="1" t="str">
        <f>TEXT(patients[[#This Row],[arrival_date]],"[$-409]mmmm")</f>
        <v>July</v>
      </c>
      <c r="L322" s="1">
        <f>MATCH(K322, {"January";"February";"March";"April";"May";"June";"July";"August";"September";"October";"November";"December"}, 0)</f>
        <v>7</v>
      </c>
      <c r="M322" s="1" t="str" cm="1">
        <f t="array" ref="M322">IF(patients[[#This Row],[length_of_stay]]&gt;patients!$N$2:$N$2,"Over average","Less than average")</f>
        <v>Less than average</v>
      </c>
    </row>
    <row r="323" spans="2:13" x14ac:dyDescent="0.25">
      <c r="B323" s="1" t="s">
        <v>652</v>
      </c>
      <c r="C323" s="1" t="s">
        <v>653</v>
      </c>
      <c r="D323">
        <v>62</v>
      </c>
      <c r="E323" s="2">
        <v>45676</v>
      </c>
      <c r="F323" s="2">
        <v>45683</v>
      </c>
      <c r="G323" s="1" t="s">
        <v>9</v>
      </c>
      <c r="H323">
        <v>88</v>
      </c>
      <c r="I323" s="19">
        <f>patients[[#This Row],[departure_date]]-patients[[#This Row],[arrival_date]]</f>
        <v>7</v>
      </c>
      <c r="J323" t="str">
        <f>IF(patients[[#This Row],[age]] &lt; 18,"0-17",IF(patients[[#This Row],[age]] &lt; 40,"18-39",IF(patients[[#This Row],[age]] &lt; 65,"40-64","65+")))</f>
        <v>40-64</v>
      </c>
      <c r="K323" s="1" t="str">
        <f>TEXT(patients[[#This Row],[arrival_date]],"[$-409]mmmm")</f>
        <v>January</v>
      </c>
      <c r="L323" s="1">
        <f>MATCH(K323, {"January";"February";"March";"April";"May";"June";"July";"August";"September";"October";"November";"December"}, 0)</f>
        <v>1</v>
      </c>
      <c r="M323" s="1" t="str" cm="1">
        <f t="array" ref="M323">IF(patients[[#This Row],[length_of_stay]]&gt;patients!$N$2:$N$2,"Over average","Less than average")</f>
        <v>Less than average</v>
      </c>
    </row>
    <row r="324" spans="2:13" x14ac:dyDescent="0.25">
      <c r="B324" s="1" t="s">
        <v>654</v>
      </c>
      <c r="C324" s="1" t="s">
        <v>655</v>
      </c>
      <c r="D324">
        <v>29</v>
      </c>
      <c r="E324" s="2">
        <v>45765</v>
      </c>
      <c r="F324" s="2">
        <v>45774</v>
      </c>
      <c r="G324" s="1" t="s">
        <v>14</v>
      </c>
      <c r="H324">
        <v>96</v>
      </c>
      <c r="I324" s="19">
        <f>patients[[#This Row],[departure_date]]-patients[[#This Row],[arrival_date]]</f>
        <v>9</v>
      </c>
      <c r="J324" t="str">
        <f>IF(patients[[#This Row],[age]] &lt; 18,"0-17",IF(patients[[#This Row],[age]] &lt; 40,"18-39",IF(patients[[#This Row],[age]] &lt; 65,"40-64","65+")))</f>
        <v>18-39</v>
      </c>
      <c r="K324" s="1" t="str">
        <f>TEXT(patients[[#This Row],[arrival_date]],"[$-409]mmmm")</f>
        <v>April</v>
      </c>
      <c r="L324" s="1">
        <f>MATCH(K324, {"January";"February";"March";"April";"May";"June";"July";"August";"September";"October";"November";"December"}, 0)</f>
        <v>4</v>
      </c>
      <c r="M324" s="1" t="str" cm="1">
        <f t="array" ref="M324">IF(patients[[#This Row],[length_of_stay]]&gt;patients!$N$2:$N$2,"Over average","Less than average")</f>
        <v>Over average</v>
      </c>
    </row>
    <row r="325" spans="2:13" x14ac:dyDescent="0.25">
      <c r="B325" s="1" t="s">
        <v>656</v>
      </c>
      <c r="C325" s="1" t="s">
        <v>657</v>
      </c>
      <c r="D325">
        <v>7</v>
      </c>
      <c r="E325" s="2">
        <v>45843</v>
      </c>
      <c r="F325" s="2">
        <v>45851</v>
      </c>
      <c r="G325" s="1" t="s">
        <v>9</v>
      </c>
      <c r="H325">
        <v>60</v>
      </c>
      <c r="I325" s="19">
        <f>patients[[#This Row],[departure_date]]-patients[[#This Row],[arrival_date]]</f>
        <v>8</v>
      </c>
      <c r="J325" t="str">
        <f>IF(patients[[#This Row],[age]] &lt; 18,"0-17",IF(patients[[#This Row],[age]] &lt; 40,"18-39",IF(patients[[#This Row],[age]] &lt; 65,"40-64","65+")))</f>
        <v>0-17</v>
      </c>
      <c r="K325" s="1" t="str">
        <f>TEXT(patients[[#This Row],[arrival_date]],"[$-409]mmmm")</f>
        <v>July</v>
      </c>
      <c r="L325" s="1">
        <f>MATCH(K325, {"January";"February";"March";"April";"May";"June";"July";"August";"September";"October";"November";"December"}, 0)</f>
        <v>7</v>
      </c>
      <c r="M325" s="1" t="str" cm="1">
        <f t="array" ref="M325">IF(patients[[#This Row],[length_of_stay]]&gt;patients!$N$2:$N$2,"Over average","Less than average")</f>
        <v>Over average</v>
      </c>
    </row>
    <row r="326" spans="2:13" x14ac:dyDescent="0.25">
      <c r="B326" s="1" t="s">
        <v>658</v>
      </c>
      <c r="C326" s="1" t="s">
        <v>659</v>
      </c>
      <c r="D326">
        <v>4</v>
      </c>
      <c r="E326" s="2">
        <v>45761</v>
      </c>
      <c r="F326" s="2">
        <v>45764</v>
      </c>
      <c r="G326" s="1" t="s">
        <v>14</v>
      </c>
      <c r="H326">
        <v>91</v>
      </c>
      <c r="I326" s="19">
        <f>patients[[#This Row],[departure_date]]-patients[[#This Row],[arrival_date]]</f>
        <v>3</v>
      </c>
      <c r="J326" t="str">
        <f>IF(patients[[#This Row],[age]] &lt; 18,"0-17",IF(patients[[#This Row],[age]] &lt; 40,"18-39",IF(patients[[#This Row],[age]] &lt; 65,"40-64","65+")))</f>
        <v>0-17</v>
      </c>
      <c r="K326" s="1" t="str">
        <f>TEXT(patients[[#This Row],[arrival_date]],"[$-409]mmmm")</f>
        <v>April</v>
      </c>
      <c r="L326" s="1">
        <f>MATCH(K326, {"January";"February";"March";"April";"May";"June";"July";"August";"September";"October";"November";"December"}, 0)</f>
        <v>4</v>
      </c>
      <c r="M326" s="1" t="str" cm="1">
        <f t="array" ref="M326">IF(patients[[#This Row],[length_of_stay]]&gt;patients!$N$2:$N$2,"Over average","Less than average")</f>
        <v>Less than average</v>
      </c>
    </row>
    <row r="327" spans="2:13" x14ac:dyDescent="0.25">
      <c r="B327" s="1" t="s">
        <v>660</v>
      </c>
      <c r="C327" s="1" t="s">
        <v>661</v>
      </c>
      <c r="D327">
        <v>63</v>
      </c>
      <c r="E327" s="2">
        <v>46011</v>
      </c>
      <c r="F327" s="2">
        <v>46022</v>
      </c>
      <c r="G327" s="1" t="s">
        <v>9</v>
      </c>
      <c r="H327">
        <v>84</v>
      </c>
      <c r="I327" s="19">
        <f>patients[[#This Row],[departure_date]]-patients[[#This Row],[arrival_date]]</f>
        <v>11</v>
      </c>
      <c r="J327" t="str">
        <f>IF(patients[[#This Row],[age]] &lt; 18,"0-17",IF(patients[[#This Row],[age]] &lt; 40,"18-39",IF(patients[[#This Row],[age]] &lt; 65,"40-64","65+")))</f>
        <v>40-64</v>
      </c>
      <c r="K327" s="1" t="str">
        <f>TEXT(patients[[#This Row],[arrival_date]],"[$-409]mmmm")</f>
        <v>December</v>
      </c>
      <c r="L327" s="1">
        <f>MATCH(K327, {"January";"February";"March";"April";"May";"June";"July";"August";"September";"October";"November";"December"}, 0)</f>
        <v>12</v>
      </c>
      <c r="M327" s="1" t="str" cm="1">
        <f t="array" ref="M327">IF(patients[[#This Row],[length_of_stay]]&gt;patients!$N$2:$N$2,"Over average","Less than average")</f>
        <v>Over average</v>
      </c>
    </row>
    <row r="328" spans="2:13" x14ac:dyDescent="0.25">
      <c r="B328" s="1" t="s">
        <v>662</v>
      </c>
      <c r="C328" s="1" t="s">
        <v>663</v>
      </c>
      <c r="D328">
        <v>9</v>
      </c>
      <c r="E328" s="2">
        <v>45959</v>
      </c>
      <c r="F328" s="2">
        <v>45966</v>
      </c>
      <c r="G328" s="1" t="s">
        <v>17</v>
      </c>
      <c r="H328">
        <v>86</v>
      </c>
      <c r="I328" s="19">
        <f>patients[[#This Row],[departure_date]]-patients[[#This Row],[arrival_date]]</f>
        <v>7</v>
      </c>
      <c r="J328" t="str">
        <f>IF(patients[[#This Row],[age]] &lt; 18,"0-17",IF(patients[[#This Row],[age]] &lt; 40,"18-39",IF(patients[[#This Row],[age]] &lt; 65,"40-64","65+")))</f>
        <v>0-17</v>
      </c>
      <c r="K328" s="1" t="str">
        <f>TEXT(patients[[#This Row],[arrival_date]],"[$-409]mmmm")</f>
        <v>October</v>
      </c>
      <c r="L328" s="1">
        <f>MATCH(K328, {"January";"February";"March";"April";"May";"June";"July";"August";"September";"October";"November";"December"}, 0)</f>
        <v>10</v>
      </c>
      <c r="M328" s="1" t="str" cm="1">
        <f t="array" ref="M328">IF(patients[[#This Row],[length_of_stay]]&gt;patients!$N$2:$N$2,"Over average","Less than average")</f>
        <v>Less than average</v>
      </c>
    </row>
    <row r="329" spans="2:13" x14ac:dyDescent="0.25">
      <c r="B329" s="1" t="s">
        <v>664</v>
      </c>
      <c r="C329" s="1" t="s">
        <v>665</v>
      </c>
      <c r="D329">
        <v>26</v>
      </c>
      <c r="E329" s="2">
        <v>45769</v>
      </c>
      <c r="F329" s="2">
        <v>45782</v>
      </c>
      <c r="G329" s="1" t="s">
        <v>9</v>
      </c>
      <c r="H329">
        <v>68</v>
      </c>
      <c r="I329" s="19">
        <f>patients[[#This Row],[departure_date]]-patients[[#This Row],[arrival_date]]</f>
        <v>13</v>
      </c>
      <c r="J329" t="str">
        <f>IF(patients[[#This Row],[age]] &lt; 18,"0-17",IF(patients[[#This Row],[age]] &lt; 40,"18-39",IF(patients[[#This Row],[age]] &lt; 65,"40-64","65+")))</f>
        <v>18-39</v>
      </c>
      <c r="K329" s="1" t="str">
        <f>TEXT(patients[[#This Row],[arrival_date]],"[$-409]mmmm")</f>
        <v>April</v>
      </c>
      <c r="L329" s="1">
        <f>MATCH(K329, {"January";"February";"March";"April";"May";"June";"July";"August";"September";"October";"November";"December"}, 0)</f>
        <v>4</v>
      </c>
      <c r="M329" s="1" t="str" cm="1">
        <f t="array" ref="M329">IF(patients[[#This Row],[length_of_stay]]&gt;patients!$N$2:$N$2,"Over average","Less than average")</f>
        <v>Over average</v>
      </c>
    </row>
    <row r="330" spans="2:13" x14ac:dyDescent="0.25">
      <c r="B330" s="1" t="s">
        <v>666</v>
      </c>
      <c r="C330" s="1" t="s">
        <v>667</v>
      </c>
      <c r="D330">
        <v>35</v>
      </c>
      <c r="E330" s="2">
        <v>45891</v>
      </c>
      <c r="F330" s="2">
        <v>45901</v>
      </c>
      <c r="G330" s="1" t="s">
        <v>9</v>
      </c>
      <c r="H330">
        <v>71</v>
      </c>
      <c r="I330" s="19">
        <f>patients[[#This Row],[departure_date]]-patients[[#This Row],[arrival_date]]</f>
        <v>10</v>
      </c>
      <c r="J330" t="str">
        <f>IF(patients[[#This Row],[age]] &lt; 18,"0-17",IF(patients[[#This Row],[age]] &lt; 40,"18-39",IF(patients[[#This Row],[age]] &lt; 65,"40-64","65+")))</f>
        <v>18-39</v>
      </c>
      <c r="K330" s="1" t="str">
        <f>TEXT(patients[[#This Row],[arrival_date]],"[$-409]mmmm")</f>
        <v>August</v>
      </c>
      <c r="L330" s="1">
        <f>MATCH(K330, {"January";"February";"March";"April";"May";"June";"July";"August";"September";"October";"November";"December"}, 0)</f>
        <v>8</v>
      </c>
      <c r="M330" s="1" t="str" cm="1">
        <f t="array" ref="M330">IF(patients[[#This Row],[length_of_stay]]&gt;patients!$N$2:$N$2,"Over average","Less than average")</f>
        <v>Over average</v>
      </c>
    </row>
    <row r="331" spans="2:13" x14ac:dyDescent="0.25">
      <c r="B331" s="1" t="s">
        <v>668</v>
      </c>
      <c r="C331" s="1" t="s">
        <v>669</v>
      </c>
      <c r="D331">
        <v>80</v>
      </c>
      <c r="E331" s="2">
        <v>45671</v>
      </c>
      <c r="F331" s="2">
        <v>45680</v>
      </c>
      <c r="G331" s="1" t="s">
        <v>9</v>
      </c>
      <c r="H331">
        <v>93</v>
      </c>
      <c r="I331" s="19">
        <f>patients[[#This Row],[departure_date]]-patients[[#This Row],[arrival_date]]</f>
        <v>9</v>
      </c>
      <c r="J331" t="str">
        <f>IF(patients[[#This Row],[age]] &lt; 18,"0-17",IF(patients[[#This Row],[age]] &lt; 40,"18-39",IF(patients[[#This Row],[age]] &lt; 65,"40-64","65+")))</f>
        <v>65+</v>
      </c>
      <c r="K331" s="1" t="str">
        <f>TEXT(patients[[#This Row],[arrival_date]],"[$-409]mmmm")</f>
        <v>January</v>
      </c>
      <c r="L331" s="1">
        <f>MATCH(K331, {"January";"February";"March";"April";"May";"June";"July";"August";"September";"October";"November";"December"}, 0)</f>
        <v>1</v>
      </c>
      <c r="M331" s="1" t="str" cm="1">
        <f t="array" ref="M331">IF(patients[[#This Row],[length_of_stay]]&gt;patients!$N$2:$N$2,"Over average","Less than average")</f>
        <v>Over average</v>
      </c>
    </row>
    <row r="332" spans="2:13" x14ac:dyDescent="0.25">
      <c r="B332" s="1" t="s">
        <v>670</v>
      </c>
      <c r="C332" s="1" t="s">
        <v>671</v>
      </c>
      <c r="D332">
        <v>52</v>
      </c>
      <c r="E332" s="2">
        <v>45677</v>
      </c>
      <c r="F332" s="2">
        <v>45688</v>
      </c>
      <c r="G332" s="1" t="s">
        <v>17</v>
      </c>
      <c r="H332">
        <v>75</v>
      </c>
      <c r="I332" s="19">
        <f>patients[[#This Row],[departure_date]]-patients[[#This Row],[arrival_date]]</f>
        <v>11</v>
      </c>
      <c r="J332" t="str">
        <f>IF(patients[[#This Row],[age]] &lt; 18,"0-17",IF(patients[[#This Row],[age]] &lt; 40,"18-39",IF(patients[[#This Row],[age]] &lt; 65,"40-64","65+")))</f>
        <v>40-64</v>
      </c>
      <c r="K332" s="1" t="str">
        <f>TEXT(patients[[#This Row],[arrival_date]],"[$-409]mmmm")</f>
        <v>January</v>
      </c>
      <c r="L332" s="1">
        <f>MATCH(K332, {"January";"February";"March";"April";"May";"June";"July";"August";"September";"October";"November";"December"}, 0)</f>
        <v>1</v>
      </c>
      <c r="M332" s="1" t="str" cm="1">
        <f t="array" ref="M332">IF(patients[[#This Row],[length_of_stay]]&gt;patients!$N$2:$N$2,"Over average","Less than average")</f>
        <v>Over average</v>
      </c>
    </row>
    <row r="333" spans="2:13" x14ac:dyDescent="0.25">
      <c r="B333" s="1" t="s">
        <v>672</v>
      </c>
      <c r="C333" s="1" t="s">
        <v>673</v>
      </c>
      <c r="D333">
        <v>69</v>
      </c>
      <c r="E333" s="2">
        <v>45868</v>
      </c>
      <c r="F333" s="2">
        <v>45873</v>
      </c>
      <c r="G333" s="1" t="s">
        <v>20</v>
      </c>
      <c r="H333">
        <v>63</v>
      </c>
      <c r="I333" s="19">
        <f>patients[[#This Row],[departure_date]]-patients[[#This Row],[arrival_date]]</f>
        <v>5</v>
      </c>
      <c r="J333" t="str">
        <f>IF(patients[[#This Row],[age]] &lt; 18,"0-17",IF(patients[[#This Row],[age]] &lt; 40,"18-39",IF(patients[[#This Row],[age]] &lt; 65,"40-64","65+")))</f>
        <v>65+</v>
      </c>
      <c r="K333" s="1" t="str">
        <f>TEXT(patients[[#This Row],[arrival_date]],"[$-409]mmmm")</f>
        <v>July</v>
      </c>
      <c r="L333" s="1">
        <f>MATCH(K333, {"January";"February";"March";"April";"May";"June";"July";"August";"September";"October";"November";"December"}, 0)</f>
        <v>7</v>
      </c>
      <c r="M333" s="1" t="str" cm="1">
        <f t="array" ref="M333">IF(patients[[#This Row],[length_of_stay]]&gt;patients!$N$2:$N$2,"Over average","Less than average")</f>
        <v>Less than average</v>
      </c>
    </row>
    <row r="334" spans="2:13" x14ac:dyDescent="0.25">
      <c r="B334" s="1" t="s">
        <v>674</v>
      </c>
      <c r="C334" s="1" t="s">
        <v>675</v>
      </c>
      <c r="D334">
        <v>3</v>
      </c>
      <c r="E334" s="2">
        <v>45681</v>
      </c>
      <c r="F334" s="2">
        <v>45687</v>
      </c>
      <c r="G334" s="1" t="s">
        <v>20</v>
      </c>
      <c r="H334">
        <v>94</v>
      </c>
      <c r="I334" s="19">
        <f>patients[[#This Row],[departure_date]]-patients[[#This Row],[arrival_date]]</f>
        <v>6</v>
      </c>
      <c r="J334" t="str">
        <f>IF(patients[[#This Row],[age]] &lt; 18,"0-17",IF(patients[[#This Row],[age]] &lt; 40,"18-39",IF(patients[[#This Row],[age]] &lt; 65,"40-64","65+")))</f>
        <v>0-17</v>
      </c>
      <c r="K334" s="1" t="str">
        <f>TEXT(patients[[#This Row],[arrival_date]],"[$-409]mmmm")</f>
        <v>January</v>
      </c>
      <c r="L334" s="1">
        <f>MATCH(K334, {"January";"February";"March";"April";"May";"June";"July";"August";"September";"October";"November";"December"}, 0)</f>
        <v>1</v>
      </c>
      <c r="M334" s="1" t="str" cm="1">
        <f t="array" ref="M334">IF(patients[[#This Row],[length_of_stay]]&gt;patients!$N$2:$N$2,"Over average","Less than average")</f>
        <v>Less than average</v>
      </c>
    </row>
    <row r="335" spans="2:13" x14ac:dyDescent="0.25">
      <c r="B335" s="1" t="s">
        <v>676</v>
      </c>
      <c r="C335" s="1" t="s">
        <v>677</v>
      </c>
      <c r="D335">
        <v>25</v>
      </c>
      <c r="E335" s="2">
        <v>45887</v>
      </c>
      <c r="F335" s="2">
        <v>45892</v>
      </c>
      <c r="G335" s="1" t="s">
        <v>17</v>
      </c>
      <c r="H335">
        <v>99</v>
      </c>
      <c r="I335" s="19">
        <f>patients[[#This Row],[departure_date]]-patients[[#This Row],[arrival_date]]</f>
        <v>5</v>
      </c>
      <c r="J335" t="str">
        <f>IF(patients[[#This Row],[age]] &lt; 18,"0-17",IF(patients[[#This Row],[age]] &lt; 40,"18-39",IF(patients[[#This Row],[age]] &lt; 65,"40-64","65+")))</f>
        <v>18-39</v>
      </c>
      <c r="K335" s="1" t="str">
        <f>TEXT(patients[[#This Row],[arrival_date]],"[$-409]mmmm")</f>
        <v>August</v>
      </c>
      <c r="L335" s="1">
        <f>MATCH(K335, {"January";"February";"March";"April";"May";"June";"July";"August";"September";"October";"November";"December"}, 0)</f>
        <v>8</v>
      </c>
      <c r="M335" s="1" t="str" cm="1">
        <f t="array" ref="M335">IF(patients[[#This Row],[length_of_stay]]&gt;patients!$N$2:$N$2,"Over average","Less than average")</f>
        <v>Less than average</v>
      </c>
    </row>
    <row r="336" spans="2:13" x14ac:dyDescent="0.25">
      <c r="B336" s="1" t="s">
        <v>678</v>
      </c>
      <c r="C336" s="1" t="s">
        <v>679</v>
      </c>
      <c r="D336">
        <v>20</v>
      </c>
      <c r="E336" s="2">
        <v>45695</v>
      </c>
      <c r="F336" s="2">
        <v>45709</v>
      </c>
      <c r="G336" s="1" t="s">
        <v>9</v>
      </c>
      <c r="H336">
        <v>63</v>
      </c>
      <c r="I336" s="19">
        <f>patients[[#This Row],[departure_date]]-patients[[#This Row],[arrival_date]]</f>
        <v>14</v>
      </c>
      <c r="J336" t="str">
        <f>IF(patients[[#This Row],[age]] &lt; 18,"0-17",IF(patients[[#This Row],[age]] &lt; 40,"18-39",IF(patients[[#This Row],[age]] &lt; 65,"40-64","65+")))</f>
        <v>18-39</v>
      </c>
      <c r="K336" s="1" t="str">
        <f>TEXT(patients[[#This Row],[arrival_date]],"[$-409]mmmm")</f>
        <v>February</v>
      </c>
      <c r="L336" s="1">
        <f>MATCH(K336, {"January";"February";"March";"April";"May";"June";"July";"August";"September";"October";"November";"December"}, 0)</f>
        <v>2</v>
      </c>
      <c r="M336" s="1" t="str" cm="1">
        <f t="array" ref="M336">IF(patients[[#This Row],[length_of_stay]]&gt;patients!$N$2:$N$2,"Over average","Less than average")</f>
        <v>Over average</v>
      </c>
    </row>
    <row r="337" spans="2:13" x14ac:dyDescent="0.25">
      <c r="B337" s="1" t="s">
        <v>680</v>
      </c>
      <c r="C337" s="1" t="s">
        <v>681</v>
      </c>
      <c r="D337">
        <v>59</v>
      </c>
      <c r="E337" s="2">
        <v>45677</v>
      </c>
      <c r="F337" s="2">
        <v>45678</v>
      </c>
      <c r="G337" s="1" t="s">
        <v>17</v>
      </c>
      <c r="H337">
        <v>66</v>
      </c>
      <c r="I337" s="19">
        <f>patients[[#This Row],[departure_date]]-patients[[#This Row],[arrival_date]]</f>
        <v>1</v>
      </c>
      <c r="J337" t="str">
        <f>IF(patients[[#This Row],[age]] &lt; 18,"0-17",IF(patients[[#This Row],[age]] &lt; 40,"18-39",IF(patients[[#This Row],[age]] &lt; 65,"40-64","65+")))</f>
        <v>40-64</v>
      </c>
      <c r="K337" s="1" t="str">
        <f>TEXT(patients[[#This Row],[arrival_date]],"[$-409]mmmm")</f>
        <v>January</v>
      </c>
      <c r="L337" s="1">
        <f>MATCH(K337, {"January";"February";"March";"April";"May";"June";"July";"August";"September";"October";"November";"December"}, 0)</f>
        <v>1</v>
      </c>
      <c r="M337" s="1" t="str" cm="1">
        <f t="array" ref="M337">IF(patients[[#This Row],[length_of_stay]]&gt;patients!$N$2:$N$2,"Over average","Less than average")</f>
        <v>Less than average</v>
      </c>
    </row>
    <row r="338" spans="2:13" x14ac:dyDescent="0.25">
      <c r="B338" s="1" t="s">
        <v>682</v>
      </c>
      <c r="C338" s="1" t="s">
        <v>683</v>
      </c>
      <c r="D338">
        <v>3</v>
      </c>
      <c r="E338" s="2">
        <v>45671</v>
      </c>
      <c r="F338" s="2">
        <v>45674</v>
      </c>
      <c r="G338" s="1" t="s">
        <v>17</v>
      </c>
      <c r="H338">
        <v>83</v>
      </c>
      <c r="I338" s="19">
        <f>patients[[#This Row],[departure_date]]-patients[[#This Row],[arrival_date]]</f>
        <v>3</v>
      </c>
      <c r="J338" t="str">
        <f>IF(patients[[#This Row],[age]] &lt; 18,"0-17",IF(patients[[#This Row],[age]] &lt; 40,"18-39",IF(patients[[#This Row],[age]] &lt; 65,"40-64","65+")))</f>
        <v>0-17</v>
      </c>
      <c r="K338" s="1" t="str">
        <f>TEXT(patients[[#This Row],[arrival_date]],"[$-409]mmmm")</f>
        <v>January</v>
      </c>
      <c r="L338" s="1">
        <f>MATCH(K338, {"January";"February";"March";"April";"May";"June";"July";"August";"September";"October";"November";"December"}, 0)</f>
        <v>1</v>
      </c>
      <c r="M338" s="1" t="str" cm="1">
        <f t="array" ref="M338">IF(patients[[#This Row],[length_of_stay]]&gt;patients!$N$2:$N$2,"Over average","Less than average")</f>
        <v>Less than average</v>
      </c>
    </row>
    <row r="339" spans="2:13" x14ac:dyDescent="0.25">
      <c r="B339" s="1" t="s">
        <v>684</v>
      </c>
      <c r="C339" s="1" t="s">
        <v>685</v>
      </c>
      <c r="D339">
        <v>79</v>
      </c>
      <c r="E339" s="2">
        <v>45712</v>
      </c>
      <c r="F339" s="2">
        <v>45716</v>
      </c>
      <c r="G339" s="1" t="s">
        <v>9</v>
      </c>
      <c r="H339">
        <v>63</v>
      </c>
      <c r="I339" s="19">
        <f>patients[[#This Row],[departure_date]]-patients[[#This Row],[arrival_date]]</f>
        <v>4</v>
      </c>
      <c r="J339" t="str">
        <f>IF(patients[[#This Row],[age]] &lt; 18,"0-17",IF(patients[[#This Row],[age]] &lt; 40,"18-39",IF(patients[[#This Row],[age]] &lt; 65,"40-64","65+")))</f>
        <v>65+</v>
      </c>
      <c r="K339" s="1" t="str">
        <f>TEXT(patients[[#This Row],[arrival_date]],"[$-409]mmmm")</f>
        <v>February</v>
      </c>
      <c r="L339" s="1">
        <f>MATCH(K339, {"January";"February";"March";"April";"May";"June";"July";"August";"September";"October";"November";"December"}, 0)</f>
        <v>2</v>
      </c>
      <c r="M339" s="1" t="str" cm="1">
        <f t="array" ref="M339">IF(patients[[#This Row],[length_of_stay]]&gt;patients!$N$2:$N$2,"Over average","Less than average")</f>
        <v>Less than average</v>
      </c>
    </row>
    <row r="340" spans="2:13" x14ac:dyDescent="0.25">
      <c r="B340" s="1" t="s">
        <v>686</v>
      </c>
      <c r="C340" s="1" t="s">
        <v>687</v>
      </c>
      <c r="D340">
        <v>23</v>
      </c>
      <c r="E340" s="2">
        <v>45815</v>
      </c>
      <c r="F340" s="2">
        <v>45817</v>
      </c>
      <c r="G340" s="1" t="s">
        <v>9</v>
      </c>
      <c r="H340">
        <v>78</v>
      </c>
      <c r="I340" s="19">
        <f>patients[[#This Row],[departure_date]]-patients[[#This Row],[arrival_date]]</f>
        <v>2</v>
      </c>
      <c r="J340" t="str">
        <f>IF(patients[[#This Row],[age]] &lt; 18,"0-17",IF(patients[[#This Row],[age]] &lt; 40,"18-39",IF(patients[[#This Row],[age]] &lt; 65,"40-64","65+")))</f>
        <v>18-39</v>
      </c>
      <c r="K340" s="1" t="str">
        <f>TEXT(patients[[#This Row],[arrival_date]],"[$-409]mmmm")</f>
        <v>June</v>
      </c>
      <c r="L340" s="1">
        <f>MATCH(K340, {"January";"February";"March";"April";"May";"June";"July";"August";"September";"October";"November";"December"}, 0)</f>
        <v>6</v>
      </c>
      <c r="M340" s="1" t="str" cm="1">
        <f t="array" ref="M340">IF(patients[[#This Row],[length_of_stay]]&gt;patients!$N$2:$N$2,"Over average","Less than average")</f>
        <v>Less than average</v>
      </c>
    </row>
    <row r="341" spans="2:13" x14ac:dyDescent="0.25">
      <c r="B341" s="1" t="s">
        <v>688</v>
      </c>
      <c r="C341" s="1" t="s">
        <v>689</v>
      </c>
      <c r="D341">
        <v>30</v>
      </c>
      <c r="E341" s="2">
        <v>45717</v>
      </c>
      <c r="F341" s="2">
        <v>45720</v>
      </c>
      <c r="G341" s="1" t="s">
        <v>20</v>
      </c>
      <c r="H341">
        <v>78</v>
      </c>
      <c r="I341" s="19">
        <f>patients[[#This Row],[departure_date]]-patients[[#This Row],[arrival_date]]</f>
        <v>3</v>
      </c>
      <c r="J341" t="str">
        <f>IF(patients[[#This Row],[age]] &lt; 18,"0-17",IF(patients[[#This Row],[age]] &lt; 40,"18-39",IF(patients[[#This Row],[age]] &lt; 65,"40-64","65+")))</f>
        <v>18-39</v>
      </c>
      <c r="K341" s="1" t="str">
        <f>TEXT(patients[[#This Row],[arrival_date]],"[$-409]mmmm")</f>
        <v>March</v>
      </c>
      <c r="L341" s="1">
        <f>MATCH(K341, {"January";"February";"March";"April";"May";"June";"July";"August";"September";"October";"November";"December"}, 0)</f>
        <v>3</v>
      </c>
      <c r="M341" s="1" t="str" cm="1">
        <f t="array" ref="M341">IF(patients[[#This Row],[length_of_stay]]&gt;patients!$N$2:$N$2,"Over average","Less than average")</f>
        <v>Less than average</v>
      </c>
    </row>
    <row r="342" spans="2:13" x14ac:dyDescent="0.25">
      <c r="B342" s="1" t="s">
        <v>690</v>
      </c>
      <c r="C342" s="1" t="s">
        <v>691</v>
      </c>
      <c r="D342">
        <v>21</v>
      </c>
      <c r="E342" s="2">
        <v>45766</v>
      </c>
      <c r="F342" s="2">
        <v>45778</v>
      </c>
      <c r="G342" s="1" t="s">
        <v>20</v>
      </c>
      <c r="H342">
        <v>89</v>
      </c>
      <c r="I342" s="19">
        <f>patients[[#This Row],[departure_date]]-patients[[#This Row],[arrival_date]]</f>
        <v>12</v>
      </c>
      <c r="J342" t="str">
        <f>IF(patients[[#This Row],[age]] &lt; 18,"0-17",IF(patients[[#This Row],[age]] &lt; 40,"18-39",IF(patients[[#This Row],[age]] &lt; 65,"40-64","65+")))</f>
        <v>18-39</v>
      </c>
      <c r="K342" s="1" t="str">
        <f>TEXT(patients[[#This Row],[arrival_date]],"[$-409]mmmm")</f>
        <v>April</v>
      </c>
      <c r="L342" s="1">
        <f>MATCH(K342, {"January";"February";"March";"April";"May";"June";"July";"August";"September";"October";"November";"December"}, 0)</f>
        <v>4</v>
      </c>
      <c r="M342" s="1" t="str" cm="1">
        <f t="array" ref="M342">IF(patients[[#This Row],[length_of_stay]]&gt;patients!$N$2:$N$2,"Over average","Less than average")</f>
        <v>Over average</v>
      </c>
    </row>
    <row r="343" spans="2:13" x14ac:dyDescent="0.25">
      <c r="B343" s="1" t="s">
        <v>692</v>
      </c>
      <c r="C343" s="1" t="s">
        <v>693</v>
      </c>
      <c r="D343">
        <v>57</v>
      </c>
      <c r="E343" s="2">
        <v>45774</v>
      </c>
      <c r="F343" s="2">
        <v>45778</v>
      </c>
      <c r="G343" s="1" t="s">
        <v>9</v>
      </c>
      <c r="H343">
        <v>78</v>
      </c>
      <c r="I343" s="19">
        <f>patients[[#This Row],[departure_date]]-patients[[#This Row],[arrival_date]]</f>
        <v>4</v>
      </c>
      <c r="J343" t="str">
        <f>IF(patients[[#This Row],[age]] &lt; 18,"0-17",IF(patients[[#This Row],[age]] &lt; 40,"18-39",IF(patients[[#This Row],[age]] &lt; 65,"40-64","65+")))</f>
        <v>40-64</v>
      </c>
      <c r="K343" s="1" t="str">
        <f>TEXT(patients[[#This Row],[arrival_date]],"[$-409]mmmm")</f>
        <v>April</v>
      </c>
      <c r="L343" s="1">
        <f>MATCH(K343, {"January";"February";"March";"April";"May";"June";"July";"August";"September";"October";"November";"December"}, 0)</f>
        <v>4</v>
      </c>
      <c r="M343" s="1" t="str" cm="1">
        <f t="array" ref="M343">IF(patients[[#This Row],[length_of_stay]]&gt;patients!$N$2:$N$2,"Over average","Less than average")</f>
        <v>Less than average</v>
      </c>
    </row>
    <row r="344" spans="2:13" x14ac:dyDescent="0.25">
      <c r="B344" s="1" t="s">
        <v>694</v>
      </c>
      <c r="C344" s="1" t="s">
        <v>695</v>
      </c>
      <c r="D344">
        <v>47</v>
      </c>
      <c r="E344" s="2">
        <v>45885</v>
      </c>
      <c r="F344" s="2">
        <v>45899</v>
      </c>
      <c r="G344" s="1" t="s">
        <v>17</v>
      </c>
      <c r="H344">
        <v>92</v>
      </c>
      <c r="I344" s="19">
        <f>patients[[#This Row],[departure_date]]-patients[[#This Row],[arrival_date]]</f>
        <v>14</v>
      </c>
      <c r="J344" t="str">
        <f>IF(patients[[#This Row],[age]] &lt; 18,"0-17",IF(patients[[#This Row],[age]] &lt; 40,"18-39",IF(patients[[#This Row],[age]] &lt; 65,"40-64","65+")))</f>
        <v>40-64</v>
      </c>
      <c r="K344" s="1" t="str">
        <f>TEXT(patients[[#This Row],[arrival_date]],"[$-409]mmmm")</f>
        <v>August</v>
      </c>
      <c r="L344" s="1">
        <f>MATCH(K344, {"January";"February";"March";"April";"May";"June";"July";"August";"September";"October";"November";"December"}, 0)</f>
        <v>8</v>
      </c>
      <c r="M344" s="1" t="str" cm="1">
        <f t="array" ref="M344">IF(patients[[#This Row],[length_of_stay]]&gt;patients!$N$2:$N$2,"Over average","Less than average")</f>
        <v>Over average</v>
      </c>
    </row>
    <row r="345" spans="2:13" x14ac:dyDescent="0.25">
      <c r="B345" s="1" t="s">
        <v>696</v>
      </c>
      <c r="C345" s="1" t="s">
        <v>697</v>
      </c>
      <c r="D345">
        <v>17</v>
      </c>
      <c r="E345" s="2">
        <v>45773</v>
      </c>
      <c r="F345" s="2">
        <v>45774</v>
      </c>
      <c r="G345" s="1" t="s">
        <v>14</v>
      </c>
      <c r="H345">
        <v>87</v>
      </c>
      <c r="I345" s="19">
        <f>patients[[#This Row],[departure_date]]-patients[[#This Row],[arrival_date]]</f>
        <v>1</v>
      </c>
      <c r="J345" t="str">
        <f>IF(patients[[#This Row],[age]] &lt; 18,"0-17",IF(patients[[#This Row],[age]] &lt; 40,"18-39",IF(patients[[#This Row],[age]] &lt; 65,"40-64","65+")))</f>
        <v>0-17</v>
      </c>
      <c r="K345" s="1" t="str">
        <f>TEXT(patients[[#This Row],[arrival_date]],"[$-409]mmmm")</f>
        <v>April</v>
      </c>
      <c r="L345" s="1">
        <f>MATCH(K345, {"January";"February";"March";"April";"May";"June";"July";"August";"September";"October";"November";"December"}, 0)</f>
        <v>4</v>
      </c>
      <c r="M345" s="1" t="str" cm="1">
        <f t="array" ref="M345">IF(patients[[#This Row],[length_of_stay]]&gt;patients!$N$2:$N$2,"Over average","Less than average")</f>
        <v>Less than average</v>
      </c>
    </row>
    <row r="346" spans="2:13" x14ac:dyDescent="0.25">
      <c r="B346" s="1" t="s">
        <v>698</v>
      </c>
      <c r="C346" s="1" t="s">
        <v>699</v>
      </c>
      <c r="D346">
        <v>46</v>
      </c>
      <c r="E346" s="2">
        <v>45970</v>
      </c>
      <c r="F346" s="2">
        <v>45982</v>
      </c>
      <c r="G346" s="1" t="s">
        <v>14</v>
      </c>
      <c r="H346">
        <v>92</v>
      </c>
      <c r="I346" s="19">
        <f>patients[[#This Row],[departure_date]]-patients[[#This Row],[arrival_date]]</f>
        <v>12</v>
      </c>
      <c r="J346" t="str">
        <f>IF(patients[[#This Row],[age]] &lt; 18,"0-17",IF(patients[[#This Row],[age]] &lt; 40,"18-39",IF(patients[[#This Row],[age]] &lt; 65,"40-64","65+")))</f>
        <v>40-64</v>
      </c>
      <c r="K346" s="1" t="str">
        <f>TEXT(patients[[#This Row],[arrival_date]],"[$-409]mmmm")</f>
        <v>November</v>
      </c>
      <c r="L346" s="1">
        <f>MATCH(K346, {"January";"February";"March";"April";"May";"June";"July";"August";"September";"October";"November";"December"}, 0)</f>
        <v>11</v>
      </c>
      <c r="M346" s="1" t="str" cm="1">
        <f t="array" ref="M346">IF(patients[[#This Row],[length_of_stay]]&gt;patients!$N$2:$N$2,"Over average","Less than average")</f>
        <v>Over average</v>
      </c>
    </row>
    <row r="347" spans="2:13" x14ac:dyDescent="0.25">
      <c r="B347" s="1" t="s">
        <v>700</v>
      </c>
      <c r="C347" s="1" t="s">
        <v>701</v>
      </c>
      <c r="D347">
        <v>16</v>
      </c>
      <c r="E347" s="2">
        <v>45917</v>
      </c>
      <c r="F347" s="2">
        <v>45921</v>
      </c>
      <c r="G347" s="1" t="s">
        <v>9</v>
      </c>
      <c r="H347">
        <v>86</v>
      </c>
      <c r="I347" s="19">
        <f>patients[[#This Row],[departure_date]]-patients[[#This Row],[arrival_date]]</f>
        <v>4</v>
      </c>
      <c r="J347" t="str">
        <f>IF(patients[[#This Row],[age]] &lt; 18,"0-17",IF(patients[[#This Row],[age]] &lt; 40,"18-39",IF(patients[[#This Row],[age]] &lt; 65,"40-64","65+")))</f>
        <v>0-17</v>
      </c>
      <c r="K347" s="1" t="str">
        <f>TEXT(patients[[#This Row],[arrival_date]],"[$-409]mmmm")</f>
        <v>September</v>
      </c>
      <c r="L347" s="1">
        <f>MATCH(K347, {"January";"February";"March";"April";"May";"June";"July";"August";"September";"October";"November";"December"}, 0)</f>
        <v>9</v>
      </c>
      <c r="M347" s="1" t="str" cm="1">
        <f t="array" ref="M347">IF(patients[[#This Row],[length_of_stay]]&gt;patients!$N$2:$N$2,"Over average","Less than average")</f>
        <v>Less than average</v>
      </c>
    </row>
    <row r="348" spans="2:13" x14ac:dyDescent="0.25">
      <c r="B348" s="1" t="s">
        <v>702</v>
      </c>
      <c r="C348" s="1" t="s">
        <v>703</v>
      </c>
      <c r="D348">
        <v>14</v>
      </c>
      <c r="E348" s="2">
        <v>45704</v>
      </c>
      <c r="F348" s="2">
        <v>45718</v>
      </c>
      <c r="G348" s="1" t="s">
        <v>9</v>
      </c>
      <c r="H348">
        <v>70</v>
      </c>
      <c r="I348" s="19">
        <f>patients[[#This Row],[departure_date]]-patients[[#This Row],[arrival_date]]</f>
        <v>14</v>
      </c>
      <c r="J348" t="str">
        <f>IF(patients[[#This Row],[age]] &lt; 18,"0-17",IF(patients[[#This Row],[age]] &lt; 40,"18-39",IF(patients[[#This Row],[age]] &lt; 65,"40-64","65+")))</f>
        <v>0-17</v>
      </c>
      <c r="K348" s="1" t="str">
        <f>TEXT(patients[[#This Row],[arrival_date]],"[$-409]mmmm")</f>
        <v>February</v>
      </c>
      <c r="L348" s="1">
        <f>MATCH(K348, {"January";"February";"March";"April";"May";"June";"July";"August";"September";"October";"November";"December"}, 0)</f>
        <v>2</v>
      </c>
      <c r="M348" s="1" t="str" cm="1">
        <f t="array" ref="M348">IF(patients[[#This Row],[length_of_stay]]&gt;patients!$N$2:$N$2,"Over average","Less than average")</f>
        <v>Over average</v>
      </c>
    </row>
    <row r="349" spans="2:13" x14ac:dyDescent="0.25">
      <c r="B349" s="1" t="s">
        <v>704</v>
      </c>
      <c r="C349" s="1" t="s">
        <v>705</v>
      </c>
      <c r="D349">
        <v>8</v>
      </c>
      <c r="E349" s="2">
        <v>45982</v>
      </c>
      <c r="F349" s="2">
        <v>45991</v>
      </c>
      <c r="G349" s="1" t="s">
        <v>9</v>
      </c>
      <c r="H349">
        <v>69</v>
      </c>
      <c r="I349" s="19">
        <f>patients[[#This Row],[departure_date]]-patients[[#This Row],[arrival_date]]</f>
        <v>9</v>
      </c>
      <c r="J349" t="str">
        <f>IF(patients[[#This Row],[age]] &lt; 18,"0-17",IF(patients[[#This Row],[age]] &lt; 40,"18-39",IF(patients[[#This Row],[age]] &lt; 65,"40-64","65+")))</f>
        <v>0-17</v>
      </c>
      <c r="K349" s="1" t="str">
        <f>TEXT(patients[[#This Row],[arrival_date]],"[$-409]mmmm")</f>
        <v>November</v>
      </c>
      <c r="L349" s="1">
        <f>MATCH(K349, {"January";"February";"March";"April";"May";"June";"July";"August";"September";"October";"November";"December"}, 0)</f>
        <v>11</v>
      </c>
      <c r="M349" s="1" t="str" cm="1">
        <f t="array" ref="M349">IF(patients[[#This Row],[length_of_stay]]&gt;patients!$N$2:$N$2,"Over average","Less than average")</f>
        <v>Over average</v>
      </c>
    </row>
    <row r="350" spans="2:13" x14ac:dyDescent="0.25">
      <c r="B350" s="1" t="s">
        <v>706</v>
      </c>
      <c r="C350" s="1" t="s">
        <v>707</v>
      </c>
      <c r="D350">
        <v>49</v>
      </c>
      <c r="E350" s="2">
        <v>45764</v>
      </c>
      <c r="F350" s="2">
        <v>45765</v>
      </c>
      <c r="G350" s="1" t="s">
        <v>14</v>
      </c>
      <c r="H350">
        <v>89</v>
      </c>
      <c r="I350" s="19">
        <f>patients[[#This Row],[departure_date]]-patients[[#This Row],[arrival_date]]</f>
        <v>1</v>
      </c>
      <c r="J350" t="str">
        <f>IF(patients[[#This Row],[age]] &lt; 18,"0-17",IF(patients[[#This Row],[age]] &lt; 40,"18-39",IF(patients[[#This Row],[age]] &lt; 65,"40-64","65+")))</f>
        <v>40-64</v>
      </c>
      <c r="K350" s="1" t="str">
        <f>TEXT(patients[[#This Row],[arrival_date]],"[$-409]mmmm")</f>
        <v>April</v>
      </c>
      <c r="L350" s="1">
        <f>MATCH(K350, {"January";"February";"March";"April";"May";"June";"July";"August";"September";"October";"November";"December"}, 0)</f>
        <v>4</v>
      </c>
      <c r="M350" s="1" t="str" cm="1">
        <f t="array" ref="M350">IF(patients[[#This Row],[length_of_stay]]&gt;patients!$N$2:$N$2,"Over average","Less than average")</f>
        <v>Less than average</v>
      </c>
    </row>
    <row r="351" spans="2:13" x14ac:dyDescent="0.25">
      <c r="B351" s="1" t="s">
        <v>708</v>
      </c>
      <c r="C351" s="1" t="s">
        <v>709</v>
      </c>
      <c r="D351">
        <v>69</v>
      </c>
      <c r="E351" s="2">
        <v>46022</v>
      </c>
      <c r="F351" s="2">
        <v>46025</v>
      </c>
      <c r="G351" s="1" t="s">
        <v>17</v>
      </c>
      <c r="H351">
        <v>78</v>
      </c>
      <c r="I351" s="19">
        <f>patients[[#This Row],[departure_date]]-patients[[#This Row],[arrival_date]]</f>
        <v>3</v>
      </c>
      <c r="J351" t="str">
        <f>IF(patients[[#This Row],[age]] &lt; 18,"0-17",IF(patients[[#This Row],[age]] &lt; 40,"18-39",IF(patients[[#This Row],[age]] &lt; 65,"40-64","65+")))</f>
        <v>65+</v>
      </c>
      <c r="K351" s="1" t="str">
        <f>TEXT(patients[[#This Row],[arrival_date]],"[$-409]mmmm")</f>
        <v>December</v>
      </c>
      <c r="L351" s="1">
        <f>MATCH(K351, {"January";"February";"March";"April";"May";"June";"July";"August";"September";"October";"November";"December"}, 0)</f>
        <v>12</v>
      </c>
      <c r="M351" s="1" t="str" cm="1">
        <f t="array" ref="M351">IF(patients[[#This Row],[length_of_stay]]&gt;patients!$N$2:$N$2,"Over average","Less than average")</f>
        <v>Less than average</v>
      </c>
    </row>
    <row r="352" spans="2:13" x14ac:dyDescent="0.25">
      <c r="B352" s="1" t="s">
        <v>710</v>
      </c>
      <c r="C352" s="1" t="s">
        <v>711</v>
      </c>
      <c r="D352">
        <v>41</v>
      </c>
      <c r="E352" s="2">
        <v>45959</v>
      </c>
      <c r="F352" s="2">
        <v>45969</v>
      </c>
      <c r="G352" s="1" t="s">
        <v>14</v>
      </c>
      <c r="H352">
        <v>64</v>
      </c>
      <c r="I352" s="19">
        <f>patients[[#This Row],[departure_date]]-patients[[#This Row],[arrival_date]]</f>
        <v>10</v>
      </c>
      <c r="J352" t="str">
        <f>IF(patients[[#This Row],[age]] &lt; 18,"0-17",IF(patients[[#This Row],[age]] &lt; 40,"18-39",IF(patients[[#This Row],[age]] &lt; 65,"40-64","65+")))</f>
        <v>40-64</v>
      </c>
      <c r="K352" s="1" t="str">
        <f>TEXT(patients[[#This Row],[arrival_date]],"[$-409]mmmm")</f>
        <v>October</v>
      </c>
      <c r="L352" s="1">
        <f>MATCH(K352, {"January";"February";"March";"April";"May";"June";"July";"August";"September";"October";"November";"December"}, 0)</f>
        <v>10</v>
      </c>
      <c r="M352" s="1" t="str" cm="1">
        <f t="array" ref="M352">IF(patients[[#This Row],[length_of_stay]]&gt;patients!$N$2:$N$2,"Over average","Less than average")</f>
        <v>Over average</v>
      </c>
    </row>
    <row r="353" spans="2:13" x14ac:dyDescent="0.25">
      <c r="B353" s="1" t="s">
        <v>712</v>
      </c>
      <c r="C353" s="1" t="s">
        <v>713</v>
      </c>
      <c r="D353">
        <v>63</v>
      </c>
      <c r="E353" s="2">
        <v>45706</v>
      </c>
      <c r="F353" s="2">
        <v>45711</v>
      </c>
      <c r="G353" s="1" t="s">
        <v>17</v>
      </c>
      <c r="H353">
        <v>69</v>
      </c>
      <c r="I353" s="19">
        <f>patients[[#This Row],[departure_date]]-patients[[#This Row],[arrival_date]]</f>
        <v>5</v>
      </c>
      <c r="J353" t="str">
        <f>IF(patients[[#This Row],[age]] &lt; 18,"0-17",IF(patients[[#This Row],[age]] &lt; 40,"18-39",IF(patients[[#This Row],[age]] &lt; 65,"40-64","65+")))</f>
        <v>40-64</v>
      </c>
      <c r="K353" s="1" t="str">
        <f>TEXT(patients[[#This Row],[arrival_date]],"[$-409]mmmm")</f>
        <v>February</v>
      </c>
      <c r="L353" s="1">
        <f>MATCH(K353, {"January";"February";"March";"April";"May";"June";"July";"August";"September";"October";"November";"December"}, 0)</f>
        <v>2</v>
      </c>
      <c r="M353" s="1" t="str" cm="1">
        <f t="array" ref="M353">IF(patients[[#This Row],[length_of_stay]]&gt;patients!$N$2:$N$2,"Over average","Less than average")</f>
        <v>Less than average</v>
      </c>
    </row>
    <row r="354" spans="2:13" x14ac:dyDescent="0.25">
      <c r="B354" s="1" t="s">
        <v>714</v>
      </c>
      <c r="C354" s="1" t="s">
        <v>715</v>
      </c>
      <c r="D354">
        <v>63</v>
      </c>
      <c r="E354" s="2">
        <v>46013</v>
      </c>
      <c r="F354" s="2">
        <v>46019</v>
      </c>
      <c r="G354" s="1" t="s">
        <v>17</v>
      </c>
      <c r="H354">
        <v>85</v>
      </c>
      <c r="I354" s="19">
        <f>patients[[#This Row],[departure_date]]-patients[[#This Row],[arrival_date]]</f>
        <v>6</v>
      </c>
      <c r="J354" t="str">
        <f>IF(patients[[#This Row],[age]] &lt; 18,"0-17",IF(patients[[#This Row],[age]] &lt; 40,"18-39",IF(patients[[#This Row],[age]] &lt; 65,"40-64","65+")))</f>
        <v>40-64</v>
      </c>
      <c r="K354" s="1" t="str">
        <f>TEXT(patients[[#This Row],[arrival_date]],"[$-409]mmmm")</f>
        <v>December</v>
      </c>
      <c r="L354" s="1">
        <f>MATCH(K354, {"January";"February";"March";"April";"May";"June";"July";"August";"September";"October";"November";"December"}, 0)</f>
        <v>12</v>
      </c>
      <c r="M354" s="1" t="str" cm="1">
        <f t="array" ref="M354">IF(patients[[#This Row],[length_of_stay]]&gt;patients!$N$2:$N$2,"Over average","Less than average")</f>
        <v>Less than average</v>
      </c>
    </row>
    <row r="355" spans="2:13" x14ac:dyDescent="0.25">
      <c r="B355" s="1" t="s">
        <v>716</v>
      </c>
      <c r="C355" s="1" t="s">
        <v>717</v>
      </c>
      <c r="D355">
        <v>3</v>
      </c>
      <c r="E355" s="2">
        <v>45888</v>
      </c>
      <c r="F355" s="2">
        <v>45895</v>
      </c>
      <c r="G355" s="1" t="s">
        <v>9</v>
      </c>
      <c r="H355">
        <v>94</v>
      </c>
      <c r="I355" s="19">
        <f>patients[[#This Row],[departure_date]]-patients[[#This Row],[arrival_date]]</f>
        <v>7</v>
      </c>
      <c r="J355" t="str">
        <f>IF(patients[[#This Row],[age]] &lt; 18,"0-17",IF(patients[[#This Row],[age]] &lt; 40,"18-39",IF(patients[[#This Row],[age]] &lt; 65,"40-64","65+")))</f>
        <v>0-17</v>
      </c>
      <c r="K355" s="1" t="str">
        <f>TEXT(patients[[#This Row],[arrival_date]],"[$-409]mmmm")</f>
        <v>August</v>
      </c>
      <c r="L355" s="1">
        <f>MATCH(K355, {"January";"February";"March";"April";"May";"June";"July";"August";"September";"October";"November";"December"}, 0)</f>
        <v>8</v>
      </c>
      <c r="M355" s="1" t="str" cm="1">
        <f t="array" ref="M355">IF(patients[[#This Row],[length_of_stay]]&gt;patients!$N$2:$N$2,"Over average","Less than average")</f>
        <v>Less than average</v>
      </c>
    </row>
    <row r="356" spans="2:13" x14ac:dyDescent="0.25">
      <c r="B356" s="1" t="s">
        <v>718</v>
      </c>
      <c r="C356" s="1" t="s">
        <v>719</v>
      </c>
      <c r="D356">
        <v>0</v>
      </c>
      <c r="E356" s="2">
        <v>45970</v>
      </c>
      <c r="F356" s="2">
        <v>45974</v>
      </c>
      <c r="G356" s="1" t="s">
        <v>20</v>
      </c>
      <c r="H356">
        <v>65</v>
      </c>
      <c r="I356" s="19">
        <f>patients[[#This Row],[departure_date]]-patients[[#This Row],[arrival_date]]</f>
        <v>4</v>
      </c>
      <c r="J356" t="str">
        <f>IF(patients[[#This Row],[age]] &lt; 18,"0-17",IF(patients[[#This Row],[age]] &lt; 40,"18-39",IF(patients[[#This Row],[age]] &lt; 65,"40-64","65+")))</f>
        <v>0-17</v>
      </c>
      <c r="K356" s="1" t="str">
        <f>TEXT(patients[[#This Row],[arrival_date]],"[$-409]mmmm")</f>
        <v>November</v>
      </c>
      <c r="L356" s="1">
        <f>MATCH(K356, {"January";"February";"March";"April";"May";"June";"July";"August";"September";"October";"November";"December"}, 0)</f>
        <v>11</v>
      </c>
      <c r="M356" s="1" t="str" cm="1">
        <f t="array" ref="M356">IF(patients[[#This Row],[length_of_stay]]&gt;patients!$N$2:$N$2,"Over average","Less than average")</f>
        <v>Less than average</v>
      </c>
    </row>
    <row r="357" spans="2:13" x14ac:dyDescent="0.25">
      <c r="B357" s="1" t="s">
        <v>720</v>
      </c>
      <c r="C357" s="1" t="s">
        <v>721</v>
      </c>
      <c r="D357">
        <v>40</v>
      </c>
      <c r="E357" s="2">
        <v>45831</v>
      </c>
      <c r="F357" s="2">
        <v>45843</v>
      </c>
      <c r="G357" s="1" t="s">
        <v>9</v>
      </c>
      <c r="H357">
        <v>90</v>
      </c>
      <c r="I357" s="19">
        <f>patients[[#This Row],[departure_date]]-patients[[#This Row],[arrival_date]]</f>
        <v>12</v>
      </c>
      <c r="J357" t="str">
        <f>IF(patients[[#This Row],[age]] &lt; 18,"0-17",IF(patients[[#This Row],[age]] &lt; 40,"18-39",IF(patients[[#This Row],[age]] &lt; 65,"40-64","65+")))</f>
        <v>40-64</v>
      </c>
      <c r="K357" s="1" t="str">
        <f>TEXT(patients[[#This Row],[arrival_date]],"[$-409]mmmm")</f>
        <v>June</v>
      </c>
      <c r="L357" s="1">
        <f>MATCH(K357, {"January";"February";"March";"April";"May";"June";"July";"August";"September";"October";"November";"December"}, 0)</f>
        <v>6</v>
      </c>
      <c r="M357" s="1" t="str" cm="1">
        <f t="array" ref="M357">IF(patients[[#This Row],[length_of_stay]]&gt;patients!$N$2:$N$2,"Over average","Less than average")</f>
        <v>Over average</v>
      </c>
    </row>
    <row r="358" spans="2:13" x14ac:dyDescent="0.25">
      <c r="B358" s="1" t="s">
        <v>722</v>
      </c>
      <c r="C358" s="1" t="s">
        <v>723</v>
      </c>
      <c r="D358">
        <v>83</v>
      </c>
      <c r="E358" s="2">
        <v>45693</v>
      </c>
      <c r="F358" s="2">
        <v>45698</v>
      </c>
      <c r="G358" s="1" t="s">
        <v>20</v>
      </c>
      <c r="H358">
        <v>89</v>
      </c>
      <c r="I358" s="19">
        <f>patients[[#This Row],[departure_date]]-patients[[#This Row],[arrival_date]]</f>
        <v>5</v>
      </c>
      <c r="J358" t="str">
        <f>IF(patients[[#This Row],[age]] &lt; 18,"0-17",IF(patients[[#This Row],[age]] &lt; 40,"18-39",IF(patients[[#This Row],[age]] &lt; 65,"40-64","65+")))</f>
        <v>65+</v>
      </c>
      <c r="K358" s="1" t="str">
        <f>TEXT(patients[[#This Row],[arrival_date]],"[$-409]mmmm")</f>
        <v>February</v>
      </c>
      <c r="L358" s="1">
        <f>MATCH(K358, {"January";"February";"March";"April";"May";"June";"July";"August";"September";"October";"November";"December"}, 0)</f>
        <v>2</v>
      </c>
      <c r="M358" s="1" t="str" cm="1">
        <f t="array" ref="M358">IF(patients[[#This Row],[length_of_stay]]&gt;patients!$N$2:$N$2,"Over average","Less than average")</f>
        <v>Less than average</v>
      </c>
    </row>
    <row r="359" spans="2:13" x14ac:dyDescent="0.25">
      <c r="B359" s="1" t="s">
        <v>724</v>
      </c>
      <c r="C359" s="1" t="s">
        <v>725</v>
      </c>
      <c r="D359">
        <v>23</v>
      </c>
      <c r="E359" s="2">
        <v>45763</v>
      </c>
      <c r="F359" s="2">
        <v>45777</v>
      </c>
      <c r="G359" s="1" t="s">
        <v>20</v>
      </c>
      <c r="H359">
        <v>81</v>
      </c>
      <c r="I359" s="19">
        <f>patients[[#This Row],[departure_date]]-patients[[#This Row],[arrival_date]]</f>
        <v>14</v>
      </c>
      <c r="J359" t="str">
        <f>IF(patients[[#This Row],[age]] &lt; 18,"0-17",IF(patients[[#This Row],[age]] &lt; 40,"18-39",IF(patients[[#This Row],[age]] &lt; 65,"40-64","65+")))</f>
        <v>18-39</v>
      </c>
      <c r="K359" s="1" t="str">
        <f>TEXT(patients[[#This Row],[arrival_date]],"[$-409]mmmm")</f>
        <v>April</v>
      </c>
      <c r="L359" s="1">
        <f>MATCH(K359, {"January";"February";"March";"April";"May";"June";"July";"August";"September";"October";"November";"December"}, 0)</f>
        <v>4</v>
      </c>
      <c r="M359" s="1" t="str" cm="1">
        <f t="array" ref="M359">IF(patients[[#This Row],[length_of_stay]]&gt;patients!$N$2:$N$2,"Over average","Less than average")</f>
        <v>Over average</v>
      </c>
    </row>
    <row r="360" spans="2:13" x14ac:dyDescent="0.25">
      <c r="B360" s="1" t="s">
        <v>726</v>
      </c>
      <c r="C360" s="1" t="s">
        <v>727</v>
      </c>
      <c r="D360">
        <v>6</v>
      </c>
      <c r="E360" s="2">
        <v>45877</v>
      </c>
      <c r="F360" s="2">
        <v>45891</v>
      </c>
      <c r="G360" s="1" t="s">
        <v>14</v>
      </c>
      <c r="H360">
        <v>69</v>
      </c>
      <c r="I360" s="19">
        <f>patients[[#This Row],[departure_date]]-patients[[#This Row],[arrival_date]]</f>
        <v>14</v>
      </c>
      <c r="J360" t="str">
        <f>IF(patients[[#This Row],[age]] &lt; 18,"0-17",IF(patients[[#This Row],[age]] &lt; 40,"18-39",IF(patients[[#This Row],[age]] &lt; 65,"40-64","65+")))</f>
        <v>0-17</v>
      </c>
      <c r="K360" s="1" t="str">
        <f>TEXT(patients[[#This Row],[arrival_date]],"[$-409]mmmm")</f>
        <v>August</v>
      </c>
      <c r="L360" s="1">
        <f>MATCH(K360, {"January";"February";"March";"April";"May";"June";"July";"August";"September";"October";"November";"December"}, 0)</f>
        <v>8</v>
      </c>
      <c r="M360" s="1" t="str" cm="1">
        <f t="array" ref="M360">IF(patients[[#This Row],[length_of_stay]]&gt;patients!$N$2:$N$2,"Over average","Less than average")</f>
        <v>Over average</v>
      </c>
    </row>
    <row r="361" spans="2:13" x14ac:dyDescent="0.25">
      <c r="B361" s="1" t="s">
        <v>728</v>
      </c>
      <c r="C361" s="1" t="s">
        <v>729</v>
      </c>
      <c r="D361">
        <v>79</v>
      </c>
      <c r="E361" s="2">
        <v>45839</v>
      </c>
      <c r="F361" s="2">
        <v>45849</v>
      </c>
      <c r="G361" s="1" t="s">
        <v>20</v>
      </c>
      <c r="H361">
        <v>84</v>
      </c>
      <c r="I361" s="19">
        <f>patients[[#This Row],[departure_date]]-patients[[#This Row],[arrival_date]]</f>
        <v>10</v>
      </c>
      <c r="J361" t="str">
        <f>IF(patients[[#This Row],[age]] &lt; 18,"0-17",IF(patients[[#This Row],[age]] &lt; 40,"18-39",IF(patients[[#This Row],[age]] &lt; 65,"40-64","65+")))</f>
        <v>65+</v>
      </c>
      <c r="K361" s="1" t="str">
        <f>TEXT(patients[[#This Row],[arrival_date]],"[$-409]mmmm")</f>
        <v>July</v>
      </c>
      <c r="L361" s="1">
        <f>MATCH(K361, {"January";"February";"March";"April";"May";"June";"July";"August";"September";"October";"November";"December"}, 0)</f>
        <v>7</v>
      </c>
      <c r="M361" s="1" t="str" cm="1">
        <f t="array" ref="M361">IF(patients[[#This Row],[length_of_stay]]&gt;patients!$N$2:$N$2,"Over average","Less than average")</f>
        <v>Over average</v>
      </c>
    </row>
    <row r="362" spans="2:13" x14ac:dyDescent="0.25">
      <c r="B362" s="1" t="s">
        <v>730</v>
      </c>
      <c r="C362" s="1" t="s">
        <v>731</v>
      </c>
      <c r="D362">
        <v>76</v>
      </c>
      <c r="E362" s="2">
        <v>45701</v>
      </c>
      <c r="F362" s="2">
        <v>45710</v>
      </c>
      <c r="G362" s="1" t="s">
        <v>9</v>
      </c>
      <c r="H362">
        <v>95</v>
      </c>
      <c r="I362" s="19">
        <f>patients[[#This Row],[departure_date]]-patients[[#This Row],[arrival_date]]</f>
        <v>9</v>
      </c>
      <c r="J362" t="str">
        <f>IF(patients[[#This Row],[age]] &lt; 18,"0-17",IF(patients[[#This Row],[age]] &lt; 40,"18-39",IF(patients[[#This Row],[age]] &lt; 65,"40-64","65+")))</f>
        <v>65+</v>
      </c>
      <c r="K362" s="1" t="str">
        <f>TEXT(patients[[#This Row],[arrival_date]],"[$-409]mmmm")</f>
        <v>February</v>
      </c>
      <c r="L362" s="1">
        <f>MATCH(K362, {"January";"February";"March";"April";"May";"June";"July";"August";"September";"October";"November";"December"}, 0)</f>
        <v>2</v>
      </c>
      <c r="M362" s="1" t="str" cm="1">
        <f t="array" ref="M362">IF(patients[[#This Row],[length_of_stay]]&gt;patients!$N$2:$N$2,"Over average","Less than average")</f>
        <v>Over average</v>
      </c>
    </row>
    <row r="363" spans="2:13" x14ac:dyDescent="0.25">
      <c r="B363" s="1" t="s">
        <v>732</v>
      </c>
      <c r="C363" s="1" t="s">
        <v>733</v>
      </c>
      <c r="D363">
        <v>55</v>
      </c>
      <c r="E363" s="2">
        <v>45741</v>
      </c>
      <c r="F363" s="2">
        <v>45743</v>
      </c>
      <c r="G363" s="1" t="s">
        <v>14</v>
      </c>
      <c r="H363">
        <v>80</v>
      </c>
      <c r="I363" s="19">
        <f>patients[[#This Row],[departure_date]]-patients[[#This Row],[arrival_date]]</f>
        <v>2</v>
      </c>
      <c r="J363" t="str">
        <f>IF(patients[[#This Row],[age]] &lt; 18,"0-17",IF(patients[[#This Row],[age]] &lt; 40,"18-39",IF(patients[[#This Row],[age]] &lt; 65,"40-64","65+")))</f>
        <v>40-64</v>
      </c>
      <c r="K363" s="1" t="str">
        <f>TEXT(patients[[#This Row],[arrival_date]],"[$-409]mmmm")</f>
        <v>March</v>
      </c>
      <c r="L363" s="1">
        <f>MATCH(K363, {"January";"February";"March";"April";"May";"June";"July";"August";"September";"October";"November";"December"}, 0)</f>
        <v>3</v>
      </c>
      <c r="M363" s="1" t="str" cm="1">
        <f t="array" ref="M363">IF(patients[[#This Row],[length_of_stay]]&gt;patients!$N$2:$N$2,"Over average","Less than average")</f>
        <v>Less than average</v>
      </c>
    </row>
    <row r="364" spans="2:13" x14ac:dyDescent="0.25">
      <c r="B364" s="1" t="s">
        <v>734</v>
      </c>
      <c r="C364" s="1" t="s">
        <v>735</v>
      </c>
      <c r="D364">
        <v>67</v>
      </c>
      <c r="E364" s="2">
        <v>45664</v>
      </c>
      <c r="F364" s="2">
        <v>45670</v>
      </c>
      <c r="G364" s="1" t="s">
        <v>9</v>
      </c>
      <c r="H364">
        <v>74</v>
      </c>
      <c r="I364" s="19">
        <f>patients[[#This Row],[departure_date]]-patients[[#This Row],[arrival_date]]</f>
        <v>6</v>
      </c>
      <c r="J364" t="str">
        <f>IF(patients[[#This Row],[age]] &lt; 18,"0-17",IF(patients[[#This Row],[age]] &lt; 40,"18-39",IF(patients[[#This Row],[age]] &lt; 65,"40-64","65+")))</f>
        <v>65+</v>
      </c>
      <c r="K364" s="1" t="str">
        <f>TEXT(patients[[#This Row],[arrival_date]],"[$-409]mmmm")</f>
        <v>January</v>
      </c>
      <c r="L364" s="1">
        <f>MATCH(K364, {"January";"February";"March";"April";"May";"June";"July";"August";"September";"October";"November";"December"}, 0)</f>
        <v>1</v>
      </c>
      <c r="M364" s="1" t="str" cm="1">
        <f t="array" ref="M364">IF(patients[[#This Row],[length_of_stay]]&gt;patients!$N$2:$N$2,"Over average","Less than average")</f>
        <v>Less than average</v>
      </c>
    </row>
    <row r="365" spans="2:13" x14ac:dyDescent="0.25">
      <c r="B365" s="1" t="s">
        <v>736</v>
      </c>
      <c r="C365" s="1" t="s">
        <v>737</v>
      </c>
      <c r="D365">
        <v>81</v>
      </c>
      <c r="E365" s="2">
        <v>45905</v>
      </c>
      <c r="F365" s="2">
        <v>45916</v>
      </c>
      <c r="G365" s="1" t="s">
        <v>20</v>
      </c>
      <c r="H365">
        <v>79</v>
      </c>
      <c r="I365" s="19">
        <f>patients[[#This Row],[departure_date]]-patients[[#This Row],[arrival_date]]</f>
        <v>11</v>
      </c>
      <c r="J365" t="str">
        <f>IF(patients[[#This Row],[age]] &lt; 18,"0-17",IF(patients[[#This Row],[age]] &lt; 40,"18-39",IF(patients[[#This Row],[age]] &lt; 65,"40-64","65+")))</f>
        <v>65+</v>
      </c>
      <c r="K365" s="1" t="str">
        <f>TEXT(patients[[#This Row],[arrival_date]],"[$-409]mmmm")</f>
        <v>September</v>
      </c>
      <c r="L365" s="1">
        <f>MATCH(K365, {"January";"February";"March";"April";"May";"June";"July";"August";"September";"October";"November";"December"}, 0)</f>
        <v>9</v>
      </c>
      <c r="M365" s="1" t="str" cm="1">
        <f t="array" ref="M365">IF(patients[[#This Row],[length_of_stay]]&gt;patients!$N$2:$N$2,"Over average","Less than average")</f>
        <v>Over average</v>
      </c>
    </row>
    <row r="366" spans="2:13" x14ac:dyDescent="0.25">
      <c r="B366" s="1" t="s">
        <v>738</v>
      </c>
      <c r="C366" s="1" t="s">
        <v>739</v>
      </c>
      <c r="D366">
        <v>87</v>
      </c>
      <c r="E366" s="2">
        <v>45856</v>
      </c>
      <c r="F366" s="2">
        <v>45861</v>
      </c>
      <c r="G366" s="1" t="s">
        <v>14</v>
      </c>
      <c r="H366">
        <v>85</v>
      </c>
      <c r="I366" s="19">
        <f>patients[[#This Row],[departure_date]]-patients[[#This Row],[arrival_date]]</f>
        <v>5</v>
      </c>
      <c r="J366" t="str">
        <f>IF(patients[[#This Row],[age]] &lt; 18,"0-17",IF(patients[[#This Row],[age]] &lt; 40,"18-39",IF(patients[[#This Row],[age]] &lt; 65,"40-64","65+")))</f>
        <v>65+</v>
      </c>
      <c r="K366" s="1" t="str">
        <f>TEXT(patients[[#This Row],[arrival_date]],"[$-409]mmmm")</f>
        <v>July</v>
      </c>
      <c r="L366" s="1">
        <f>MATCH(K366, {"January";"February";"March";"April";"May";"June";"July";"August";"September";"October";"November";"December"}, 0)</f>
        <v>7</v>
      </c>
      <c r="M366" s="1" t="str" cm="1">
        <f t="array" ref="M366">IF(patients[[#This Row],[length_of_stay]]&gt;patients!$N$2:$N$2,"Over average","Less than average")</f>
        <v>Less than average</v>
      </c>
    </row>
    <row r="367" spans="2:13" x14ac:dyDescent="0.25">
      <c r="B367" s="1" t="s">
        <v>740</v>
      </c>
      <c r="C367" s="1" t="s">
        <v>741</v>
      </c>
      <c r="D367">
        <v>13</v>
      </c>
      <c r="E367" s="2">
        <v>45822</v>
      </c>
      <c r="F367" s="2">
        <v>45832</v>
      </c>
      <c r="G367" s="1" t="s">
        <v>17</v>
      </c>
      <c r="H367">
        <v>80</v>
      </c>
      <c r="I367" s="19">
        <f>patients[[#This Row],[departure_date]]-patients[[#This Row],[arrival_date]]</f>
        <v>10</v>
      </c>
      <c r="J367" t="str">
        <f>IF(patients[[#This Row],[age]] &lt; 18,"0-17",IF(patients[[#This Row],[age]] &lt; 40,"18-39",IF(patients[[#This Row],[age]] &lt; 65,"40-64","65+")))</f>
        <v>0-17</v>
      </c>
      <c r="K367" s="1" t="str">
        <f>TEXT(patients[[#This Row],[arrival_date]],"[$-409]mmmm")</f>
        <v>June</v>
      </c>
      <c r="L367" s="1">
        <f>MATCH(K367, {"January";"February";"March";"April";"May";"June";"July";"August";"September";"October";"November";"December"}, 0)</f>
        <v>6</v>
      </c>
      <c r="M367" s="1" t="str" cm="1">
        <f t="array" ref="M367">IF(patients[[#This Row],[length_of_stay]]&gt;patients!$N$2:$N$2,"Over average","Less than average")</f>
        <v>Over average</v>
      </c>
    </row>
    <row r="368" spans="2:13" x14ac:dyDescent="0.25">
      <c r="B368" s="1" t="s">
        <v>742</v>
      </c>
      <c r="C368" s="1" t="s">
        <v>743</v>
      </c>
      <c r="D368">
        <v>81</v>
      </c>
      <c r="E368" s="2">
        <v>45788</v>
      </c>
      <c r="F368" s="2">
        <v>45795</v>
      </c>
      <c r="G368" s="1" t="s">
        <v>17</v>
      </c>
      <c r="H368">
        <v>85</v>
      </c>
      <c r="I368" s="19">
        <f>patients[[#This Row],[departure_date]]-patients[[#This Row],[arrival_date]]</f>
        <v>7</v>
      </c>
      <c r="J368" t="str">
        <f>IF(patients[[#This Row],[age]] &lt; 18,"0-17",IF(patients[[#This Row],[age]] &lt; 40,"18-39",IF(patients[[#This Row],[age]] &lt; 65,"40-64","65+")))</f>
        <v>65+</v>
      </c>
      <c r="K368" s="1" t="str">
        <f>TEXT(patients[[#This Row],[arrival_date]],"[$-409]mmmm")</f>
        <v>May</v>
      </c>
      <c r="L368" s="1">
        <f>MATCH(K368, {"January";"February";"March";"April";"May";"June";"July";"August";"September";"October";"November";"December"}, 0)</f>
        <v>5</v>
      </c>
      <c r="M368" s="1" t="str" cm="1">
        <f t="array" ref="M368">IF(patients[[#This Row],[length_of_stay]]&gt;patients!$N$2:$N$2,"Over average","Less than average")</f>
        <v>Less than average</v>
      </c>
    </row>
    <row r="369" spans="2:13" x14ac:dyDescent="0.25">
      <c r="B369" s="1" t="s">
        <v>744</v>
      </c>
      <c r="C369" s="1" t="s">
        <v>745</v>
      </c>
      <c r="D369">
        <v>36</v>
      </c>
      <c r="E369" s="2">
        <v>45962</v>
      </c>
      <c r="F369" s="2">
        <v>45965</v>
      </c>
      <c r="G369" s="1" t="s">
        <v>20</v>
      </c>
      <c r="H369">
        <v>84</v>
      </c>
      <c r="I369" s="19">
        <f>patients[[#This Row],[departure_date]]-patients[[#This Row],[arrival_date]]</f>
        <v>3</v>
      </c>
      <c r="J369" t="str">
        <f>IF(patients[[#This Row],[age]] &lt; 18,"0-17",IF(patients[[#This Row],[age]] &lt; 40,"18-39",IF(patients[[#This Row],[age]] &lt; 65,"40-64","65+")))</f>
        <v>18-39</v>
      </c>
      <c r="K369" s="1" t="str">
        <f>TEXT(patients[[#This Row],[arrival_date]],"[$-409]mmmm")</f>
        <v>November</v>
      </c>
      <c r="L369" s="1">
        <f>MATCH(K369, {"January";"February";"March";"April";"May";"June";"July";"August";"September";"October";"November";"December"}, 0)</f>
        <v>11</v>
      </c>
      <c r="M369" s="1" t="str" cm="1">
        <f t="array" ref="M369">IF(patients[[#This Row],[length_of_stay]]&gt;patients!$N$2:$N$2,"Over average","Less than average")</f>
        <v>Less than average</v>
      </c>
    </row>
    <row r="370" spans="2:13" x14ac:dyDescent="0.25">
      <c r="B370" s="1" t="s">
        <v>746</v>
      </c>
      <c r="C370" s="1" t="s">
        <v>747</v>
      </c>
      <c r="D370">
        <v>84</v>
      </c>
      <c r="E370" s="2">
        <v>45818</v>
      </c>
      <c r="F370" s="2">
        <v>45820</v>
      </c>
      <c r="G370" s="1" t="s">
        <v>20</v>
      </c>
      <c r="H370">
        <v>63</v>
      </c>
      <c r="I370" s="19">
        <f>patients[[#This Row],[departure_date]]-patients[[#This Row],[arrival_date]]</f>
        <v>2</v>
      </c>
      <c r="J370" t="str">
        <f>IF(patients[[#This Row],[age]] &lt; 18,"0-17",IF(patients[[#This Row],[age]] &lt; 40,"18-39",IF(patients[[#This Row],[age]] &lt; 65,"40-64","65+")))</f>
        <v>65+</v>
      </c>
      <c r="K370" s="1" t="str">
        <f>TEXT(patients[[#This Row],[arrival_date]],"[$-409]mmmm")</f>
        <v>June</v>
      </c>
      <c r="L370" s="1">
        <f>MATCH(K370, {"January";"February";"March";"April";"May";"June";"July";"August";"September";"October";"November";"December"}, 0)</f>
        <v>6</v>
      </c>
      <c r="M370" s="1" t="str" cm="1">
        <f t="array" ref="M370">IF(patients[[#This Row],[length_of_stay]]&gt;patients!$N$2:$N$2,"Over average","Less than average")</f>
        <v>Less than average</v>
      </c>
    </row>
    <row r="371" spans="2:13" x14ac:dyDescent="0.25">
      <c r="B371" s="1" t="s">
        <v>748</v>
      </c>
      <c r="C371" s="1" t="s">
        <v>749</v>
      </c>
      <c r="D371">
        <v>70</v>
      </c>
      <c r="E371" s="2">
        <v>45946</v>
      </c>
      <c r="F371" s="2">
        <v>45947</v>
      </c>
      <c r="G371" s="1" t="s">
        <v>9</v>
      </c>
      <c r="H371">
        <v>83</v>
      </c>
      <c r="I371" s="19">
        <f>patients[[#This Row],[departure_date]]-patients[[#This Row],[arrival_date]]</f>
        <v>1</v>
      </c>
      <c r="J371" t="str">
        <f>IF(patients[[#This Row],[age]] &lt; 18,"0-17",IF(patients[[#This Row],[age]] &lt; 40,"18-39",IF(patients[[#This Row],[age]] &lt; 65,"40-64","65+")))</f>
        <v>65+</v>
      </c>
      <c r="K371" s="1" t="str">
        <f>TEXT(patients[[#This Row],[arrival_date]],"[$-409]mmmm")</f>
        <v>October</v>
      </c>
      <c r="L371" s="1">
        <f>MATCH(K371, {"January";"February";"March";"April";"May";"June";"July";"August";"September";"October";"November";"December"}, 0)</f>
        <v>10</v>
      </c>
      <c r="M371" s="1" t="str" cm="1">
        <f t="array" ref="M371">IF(patients[[#This Row],[length_of_stay]]&gt;patients!$N$2:$N$2,"Over average","Less than average")</f>
        <v>Less than average</v>
      </c>
    </row>
    <row r="372" spans="2:13" x14ac:dyDescent="0.25">
      <c r="B372" s="1" t="s">
        <v>750</v>
      </c>
      <c r="C372" s="1" t="s">
        <v>751</v>
      </c>
      <c r="D372">
        <v>60</v>
      </c>
      <c r="E372" s="2">
        <v>46011</v>
      </c>
      <c r="F372" s="2">
        <v>46023</v>
      </c>
      <c r="G372" s="1" t="s">
        <v>17</v>
      </c>
      <c r="H372">
        <v>98</v>
      </c>
      <c r="I372" s="19">
        <f>patients[[#This Row],[departure_date]]-patients[[#This Row],[arrival_date]]</f>
        <v>12</v>
      </c>
      <c r="J372" t="str">
        <f>IF(patients[[#This Row],[age]] &lt; 18,"0-17",IF(patients[[#This Row],[age]] &lt; 40,"18-39",IF(patients[[#This Row],[age]] &lt; 65,"40-64","65+")))</f>
        <v>40-64</v>
      </c>
      <c r="K372" s="1" t="str">
        <f>TEXT(patients[[#This Row],[arrival_date]],"[$-409]mmmm")</f>
        <v>December</v>
      </c>
      <c r="L372" s="1">
        <f>MATCH(K372, {"January";"February";"March";"April";"May";"June";"July";"August";"September";"October";"November";"December"}, 0)</f>
        <v>12</v>
      </c>
      <c r="M372" s="1" t="str" cm="1">
        <f t="array" ref="M372">IF(patients[[#This Row],[length_of_stay]]&gt;patients!$N$2:$N$2,"Over average","Less than average")</f>
        <v>Over average</v>
      </c>
    </row>
    <row r="373" spans="2:13" x14ac:dyDescent="0.25">
      <c r="B373" s="1" t="s">
        <v>752</v>
      </c>
      <c r="C373" s="1" t="s">
        <v>753</v>
      </c>
      <c r="D373">
        <v>85</v>
      </c>
      <c r="E373" s="2">
        <v>45674</v>
      </c>
      <c r="F373" s="2">
        <v>45676</v>
      </c>
      <c r="G373" s="1" t="s">
        <v>17</v>
      </c>
      <c r="H373">
        <v>65</v>
      </c>
      <c r="I373" s="19">
        <f>patients[[#This Row],[departure_date]]-patients[[#This Row],[arrival_date]]</f>
        <v>2</v>
      </c>
      <c r="J373" t="str">
        <f>IF(patients[[#This Row],[age]] &lt; 18,"0-17",IF(patients[[#This Row],[age]] &lt; 40,"18-39",IF(patients[[#This Row],[age]] &lt; 65,"40-64","65+")))</f>
        <v>65+</v>
      </c>
      <c r="K373" s="1" t="str">
        <f>TEXT(patients[[#This Row],[arrival_date]],"[$-409]mmmm")</f>
        <v>January</v>
      </c>
      <c r="L373" s="1">
        <f>MATCH(K373, {"January";"February";"March";"April";"May";"June";"July";"August";"September";"October";"November";"December"}, 0)</f>
        <v>1</v>
      </c>
      <c r="M373" s="1" t="str" cm="1">
        <f t="array" ref="M373">IF(patients[[#This Row],[length_of_stay]]&gt;patients!$N$2:$N$2,"Over average","Less than average")</f>
        <v>Less than average</v>
      </c>
    </row>
    <row r="374" spans="2:13" x14ac:dyDescent="0.25">
      <c r="B374" s="1" t="s">
        <v>754</v>
      </c>
      <c r="C374" s="1" t="s">
        <v>755</v>
      </c>
      <c r="D374">
        <v>69</v>
      </c>
      <c r="E374" s="2">
        <v>45722</v>
      </c>
      <c r="F374" s="2">
        <v>45732</v>
      </c>
      <c r="G374" s="1" t="s">
        <v>9</v>
      </c>
      <c r="H374">
        <v>80</v>
      </c>
      <c r="I374" s="19">
        <f>patients[[#This Row],[departure_date]]-patients[[#This Row],[arrival_date]]</f>
        <v>10</v>
      </c>
      <c r="J374" t="str">
        <f>IF(patients[[#This Row],[age]] &lt; 18,"0-17",IF(patients[[#This Row],[age]] &lt; 40,"18-39",IF(patients[[#This Row],[age]] &lt; 65,"40-64","65+")))</f>
        <v>65+</v>
      </c>
      <c r="K374" s="1" t="str">
        <f>TEXT(patients[[#This Row],[arrival_date]],"[$-409]mmmm")</f>
        <v>March</v>
      </c>
      <c r="L374" s="1">
        <f>MATCH(K374, {"January";"February";"March";"April";"May";"June";"July";"August";"September";"October";"November";"December"}, 0)</f>
        <v>3</v>
      </c>
      <c r="M374" s="1" t="str" cm="1">
        <f t="array" ref="M374">IF(patients[[#This Row],[length_of_stay]]&gt;patients!$N$2:$N$2,"Over average","Less than average")</f>
        <v>Over average</v>
      </c>
    </row>
    <row r="375" spans="2:13" x14ac:dyDescent="0.25">
      <c r="B375" s="1" t="s">
        <v>756</v>
      </c>
      <c r="C375" s="1" t="s">
        <v>757</v>
      </c>
      <c r="D375">
        <v>4</v>
      </c>
      <c r="E375" s="2">
        <v>45679</v>
      </c>
      <c r="F375" s="2">
        <v>45688</v>
      </c>
      <c r="G375" s="1" t="s">
        <v>9</v>
      </c>
      <c r="H375">
        <v>61</v>
      </c>
      <c r="I375" s="19">
        <f>patients[[#This Row],[departure_date]]-patients[[#This Row],[arrival_date]]</f>
        <v>9</v>
      </c>
      <c r="J375" t="str">
        <f>IF(patients[[#This Row],[age]] &lt; 18,"0-17",IF(patients[[#This Row],[age]] &lt; 40,"18-39",IF(patients[[#This Row],[age]] &lt; 65,"40-64","65+")))</f>
        <v>0-17</v>
      </c>
      <c r="K375" s="1" t="str">
        <f>TEXT(patients[[#This Row],[arrival_date]],"[$-409]mmmm")</f>
        <v>January</v>
      </c>
      <c r="L375" s="1">
        <f>MATCH(K375, {"January";"February";"March";"April";"May";"June";"July";"August";"September";"October";"November";"December"}, 0)</f>
        <v>1</v>
      </c>
      <c r="M375" s="1" t="str" cm="1">
        <f t="array" ref="M375">IF(patients[[#This Row],[length_of_stay]]&gt;patients!$N$2:$N$2,"Over average","Less than average")</f>
        <v>Over average</v>
      </c>
    </row>
    <row r="376" spans="2:13" x14ac:dyDescent="0.25">
      <c r="B376" s="1" t="s">
        <v>758</v>
      </c>
      <c r="C376" s="1" t="s">
        <v>759</v>
      </c>
      <c r="D376">
        <v>73</v>
      </c>
      <c r="E376" s="2">
        <v>45801</v>
      </c>
      <c r="F376" s="2">
        <v>45804</v>
      </c>
      <c r="G376" s="1" t="s">
        <v>9</v>
      </c>
      <c r="H376">
        <v>98</v>
      </c>
      <c r="I376" s="19">
        <f>patients[[#This Row],[departure_date]]-patients[[#This Row],[arrival_date]]</f>
        <v>3</v>
      </c>
      <c r="J376" t="str">
        <f>IF(patients[[#This Row],[age]] &lt; 18,"0-17",IF(patients[[#This Row],[age]] &lt; 40,"18-39",IF(patients[[#This Row],[age]] &lt; 65,"40-64","65+")))</f>
        <v>65+</v>
      </c>
      <c r="K376" s="1" t="str">
        <f>TEXT(patients[[#This Row],[arrival_date]],"[$-409]mmmm")</f>
        <v>May</v>
      </c>
      <c r="L376" s="1">
        <f>MATCH(K376, {"January";"February";"March";"April";"May";"June";"July";"August";"September";"October";"November";"December"}, 0)</f>
        <v>5</v>
      </c>
      <c r="M376" s="1" t="str" cm="1">
        <f t="array" ref="M376">IF(patients[[#This Row],[length_of_stay]]&gt;patients!$N$2:$N$2,"Over average","Less than average")</f>
        <v>Less than average</v>
      </c>
    </row>
    <row r="377" spans="2:13" x14ac:dyDescent="0.25">
      <c r="B377" s="1" t="s">
        <v>760</v>
      </c>
      <c r="C377" s="1" t="s">
        <v>761</v>
      </c>
      <c r="D377">
        <v>85</v>
      </c>
      <c r="E377" s="2">
        <v>46001</v>
      </c>
      <c r="F377" s="2">
        <v>46009</v>
      </c>
      <c r="G377" s="1" t="s">
        <v>20</v>
      </c>
      <c r="H377">
        <v>97</v>
      </c>
      <c r="I377" s="19">
        <f>patients[[#This Row],[departure_date]]-patients[[#This Row],[arrival_date]]</f>
        <v>8</v>
      </c>
      <c r="J377" t="str">
        <f>IF(patients[[#This Row],[age]] &lt; 18,"0-17",IF(patients[[#This Row],[age]] &lt; 40,"18-39",IF(patients[[#This Row],[age]] &lt; 65,"40-64","65+")))</f>
        <v>65+</v>
      </c>
      <c r="K377" s="1" t="str">
        <f>TEXT(patients[[#This Row],[arrival_date]],"[$-409]mmmm")</f>
        <v>December</v>
      </c>
      <c r="L377" s="1">
        <f>MATCH(K377, {"January";"February";"March";"April";"May";"June";"July";"August";"September";"October";"November";"December"}, 0)</f>
        <v>12</v>
      </c>
      <c r="M377" s="1" t="str" cm="1">
        <f t="array" ref="M377">IF(patients[[#This Row],[length_of_stay]]&gt;patients!$N$2:$N$2,"Over average","Less than average")</f>
        <v>Over average</v>
      </c>
    </row>
    <row r="378" spans="2:13" x14ac:dyDescent="0.25">
      <c r="B378" s="1" t="s">
        <v>762</v>
      </c>
      <c r="C378" s="1" t="s">
        <v>763</v>
      </c>
      <c r="D378">
        <v>59</v>
      </c>
      <c r="E378" s="2">
        <v>45795</v>
      </c>
      <c r="F378" s="2">
        <v>45798</v>
      </c>
      <c r="G378" s="1" t="s">
        <v>14</v>
      </c>
      <c r="H378">
        <v>91</v>
      </c>
      <c r="I378" s="19">
        <f>patients[[#This Row],[departure_date]]-patients[[#This Row],[arrival_date]]</f>
        <v>3</v>
      </c>
      <c r="J378" t="str">
        <f>IF(patients[[#This Row],[age]] &lt; 18,"0-17",IF(patients[[#This Row],[age]] &lt; 40,"18-39",IF(patients[[#This Row],[age]] &lt; 65,"40-64","65+")))</f>
        <v>40-64</v>
      </c>
      <c r="K378" s="1" t="str">
        <f>TEXT(patients[[#This Row],[arrival_date]],"[$-409]mmmm")</f>
        <v>May</v>
      </c>
      <c r="L378" s="1">
        <f>MATCH(K378, {"January";"February";"March";"April";"May";"June";"July";"August";"September";"October";"November";"December"}, 0)</f>
        <v>5</v>
      </c>
      <c r="M378" s="1" t="str" cm="1">
        <f t="array" ref="M378">IF(patients[[#This Row],[length_of_stay]]&gt;patients!$N$2:$N$2,"Over average","Less than average")</f>
        <v>Less than average</v>
      </c>
    </row>
    <row r="379" spans="2:13" x14ac:dyDescent="0.25">
      <c r="B379" s="1" t="s">
        <v>764</v>
      </c>
      <c r="C379" s="1" t="s">
        <v>765</v>
      </c>
      <c r="D379">
        <v>6</v>
      </c>
      <c r="E379" s="2">
        <v>45677</v>
      </c>
      <c r="F379" s="2">
        <v>45687</v>
      </c>
      <c r="G379" s="1" t="s">
        <v>17</v>
      </c>
      <c r="H379">
        <v>63</v>
      </c>
      <c r="I379" s="19">
        <f>patients[[#This Row],[departure_date]]-patients[[#This Row],[arrival_date]]</f>
        <v>10</v>
      </c>
      <c r="J379" t="str">
        <f>IF(patients[[#This Row],[age]] &lt; 18,"0-17",IF(patients[[#This Row],[age]] &lt; 40,"18-39",IF(patients[[#This Row],[age]] &lt; 65,"40-64","65+")))</f>
        <v>0-17</v>
      </c>
      <c r="K379" s="1" t="str">
        <f>TEXT(patients[[#This Row],[arrival_date]],"[$-409]mmmm")</f>
        <v>January</v>
      </c>
      <c r="L379" s="1">
        <f>MATCH(K379, {"January";"February";"March";"April";"May";"June";"July";"August";"September";"October";"November";"December"}, 0)</f>
        <v>1</v>
      </c>
      <c r="M379" s="1" t="str" cm="1">
        <f t="array" ref="M379">IF(patients[[#This Row],[length_of_stay]]&gt;patients!$N$2:$N$2,"Over average","Less than average")</f>
        <v>Over average</v>
      </c>
    </row>
    <row r="380" spans="2:13" x14ac:dyDescent="0.25">
      <c r="B380" s="1" t="s">
        <v>766</v>
      </c>
      <c r="C380" s="1" t="s">
        <v>767</v>
      </c>
      <c r="D380">
        <v>85</v>
      </c>
      <c r="E380" s="2">
        <v>45889</v>
      </c>
      <c r="F380" s="2">
        <v>45894</v>
      </c>
      <c r="G380" s="1" t="s">
        <v>14</v>
      </c>
      <c r="H380">
        <v>74</v>
      </c>
      <c r="I380" s="19">
        <f>patients[[#This Row],[departure_date]]-patients[[#This Row],[arrival_date]]</f>
        <v>5</v>
      </c>
      <c r="J380" t="str">
        <f>IF(patients[[#This Row],[age]] &lt; 18,"0-17",IF(patients[[#This Row],[age]] &lt; 40,"18-39",IF(patients[[#This Row],[age]] &lt; 65,"40-64","65+")))</f>
        <v>65+</v>
      </c>
      <c r="K380" s="1" t="str">
        <f>TEXT(patients[[#This Row],[arrival_date]],"[$-409]mmmm")</f>
        <v>August</v>
      </c>
      <c r="L380" s="1">
        <f>MATCH(K380, {"January";"February";"March";"April";"May";"June";"July";"August";"September";"October";"November";"December"}, 0)</f>
        <v>8</v>
      </c>
      <c r="M380" s="1" t="str" cm="1">
        <f t="array" ref="M380">IF(patients[[#This Row],[length_of_stay]]&gt;patients!$N$2:$N$2,"Over average","Less than average")</f>
        <v>Less than average</v>
      </c>
    </row>
    <row r="381" spans="2:13" x14ac:dyDescent="0.25">
      <c r="B381" s="1" t="s">
        <v>768</v>
      </c>
      <c r="C381" s="1" t="s">
        <v>769</v>
      </c>
      <c r="D381">
        <v>85</v>
      </c>
      <c r="E381" s="2">
        <v>45749</v>
      </c>
      <c r="F381" s="2">
        <v>45763</v>
      </c>
      <c r="G381" s="1" t="s">
        <v>20</v>
      </c>
      <c r="H381">
        <v>86</v>
      </c>
      <c r="I381" s="19">
        <f>patients[[#This Row],[departure_date]]-patients[[#This Row],[arrival_date]]</f>
        <v>14</v>
      </c>
      <c r="J381" t="str">
        <f>IF(patients[[#This Row],[age]] &lt; 18,"0-17",IF(patients[[#This Row],[age]] &lt; 40,"18-39",IF(patients[[#This Row],[age]] &lt; 65,"40-64","65+")))</f>
        <v>65+</v>
      </c>
      <c r="K381" s="1" t="str">
        <f>TEXT(patients[[#This Row],[arrival_date]],"[$-409]mmmm")</f>
        <v>April</v>
      </c>
      <c r="L381" s="1">
        <f>MATCH(K381, {"January";"February";"March";"April";"May";"June";"July";"August";"September";"October";"November";"December"}, 0)</f>
        <v>4</v>
      </c>
      <c r="M381" s="1" t="str" cm="1">
        <f t="array" ref="M381">IF(patients[[#This Row],[length_of_stay]]&gt;patients!$N$2:$N$2,"Over average","Less than average")</f>
        <v>Over average</v>
      </c>
    </row>
    <row r="382" spans="2:13" x14ac:dyDescent="0.25">
      <c r="B382" s="1" t="s">
        <v>770</v>
      </c>
      <c r="C382" s="1" t="s">
        <v>771</v>
      </c>
      <c r="D382">
        <v>39</v>
      </c>
      <c r="E382" s="2">
        <v>45941</v>
      </c>
      <c r="F382" s="2">
        <v>45951</v>
      </c>
      <c r="G382" s="1" t="s">
        <v>9</v>
      </c>
      <c r="H382">
        <v>61</v>
      </c>
      <c r="I382" s="19">
        <f>patients[[#This Row],[departure_date]]-patients[[#This Row],[arrival_date]]</f>
        <v>10</v>
      </c>
      <c r="J382" t="str">
        <f>IF(patients[[#This Row],[age]] &lt; 18,"0-17",IF(patients[[#This Row],[age]] &lt; 40,"18-39",IF(patients[[#This Row],[age]] &lt; 65,"40-64","65+")))</f>
        <v>18-39</v>
      </c>
      <c r="K382" s="1" t="str">
        <f>TEXT(patients[[#This Row],[arrival_date]],"[$-409]mmmm")</f>
        <v>October</v>
      </c>
      <c r="L382" s="1">
        <f>MATCH(K382, {"January";"February";"March";"April";"May";"June";"July";"August";"September";"October";"November";"December"}, 0)</f>
        <v>10</v>
      </c>
      <c r="M382" s="1" t="str" cm="1">
        <f t="array" ref="M382">IF(patients[[#This Row],[length_of_stay]]&gt;patients!$N$2:$N$2,"Over average","Less than average")</f>
        <v>Over average</v>
      </c>
    </row>
    <row r="383" spans="2:13" x14ac:dyDescent="0.25">
      <c r="B383" s="1" t="s">
        <v>772</v>
      </c>
      <c r="C383" s="1" t="s">
        <v>773</v>
      </c>
      <c r="D383">
        <v>24</v>
      </c>
      <c r="E383" s="2">
        <v>45911</v>
      </c>
      <c r="F383" s="2">
        <v>45914</v>
      </c>
      <c r="G383" s="1" t="s">
        <v>20</v>
      </c>
      <c r="H383">
        <v>67</v>
      </c>
      <c r="I383" s="19">
        <f>patients[[#This Row],[departure_date]]-patients[[#This Row],[arrival_date]]</f>
        <v>3</v>
      </c>
      <c r="J383" t="str">
        <f>IF(patients[[#This Row],[age]] &lt; 18,"0-17",IF(patients[[#This Row],[age]] &lt; 40,"18-39",IF(patients[[#This Row],[age]] &lt; 65,"40-64","65+")))</f>
        <v>18-39</v>
      </c>
      <c r="K383" s="1" t="str">
        <f>TEXT(patients[[#This Row],[arrival_date]],"[$-409]mmmm")</f>
        <v>September</v>
      </c>
      <c r="L383" s="1">
        <f>MATCH(K383, {"January";"February";"March";"April";"May";"June";"July";"August";"September";"October";"November";"December"}, 0)</f>
        <v>9</v>
      </c>
      <c r="M383" s="1" t="str" cm="1">
        <f t="array" ref="M383">IF(patients[[#This Row],[length_of_stay]]&gt;patients!$N$2:$N$2,"Over average","Less than average")</f>
        <v>Less than average</v>
      </c>
    </row>
    <row r="384" spans="2:13" x14ac:dyDescent="0.25">
      <c r="B384" s="1" t="s">
        <v>774</v>
      </c>
      <c r="C384" s="1" t="s">
        <v>775</v>
      </c>
      <c r="D384">
        <v>43</v>
      </c>
      <c r="E384" s="2">
        <v>45699</v>
      </c>
      <c r="F384" s="2">
        <v>45703</v>
      </c>
      <c r="G384" s="1" t="s">
        <v>17</v>
      </c>
      <c r="H384">
        <v>94</v>
      </c>
      <c r="I384" s="19">
        <f>patients[[#This Row],[departure_date]]-patients[[#This Row],[arrival_date]]</f>
        <v>4</v>
      </c>
      <c r="J384" t="str">
        <f>IF(patients[[#This Row],[age]] &lt; 18,"0-17",IF(patients[[#This Row],[age]] &lt; 40,"18-39",IF(patients[[#This Row],[age]] &lt; 65,"40-64","65+")))</f>
        <v>40-64</v>
      </c>
      <c r="K384" s="1" t="str">
        <f>TEXT(patients[[#This Row],[arrival_date]],"[$-409]mmmm")</f>
        <v>February</v>
      </c>
      <c r="L384" s="1">
        <f>MATCH(K384, {"January";"February";"March";"April";"May";"June";"July";"August";"September";"October";"November";"December"}, 0)</f>
        <v>2</v>
      </c>
      <c r="M384" s="1" t="str" cm="1">
        <f t="array" ref="M384">IF(patients[[#This Row],[length_of_stay]]&gt;patients!$N$2:$N$2,"Over average","Less than average")</f>
        <v>Less than average</v>
      </c>
    </row>
    <row r="385" spans="2:13" x14ac:dyDescent="0.25">
      <c r="B385" s="1" t="s">
        <v>776</v>
      </c>
      <c r="C385" s="1" t="s">
        <v>777</v>
      </c>
      <c r="D385">
        <v>5</v>
      </c>
      <c r="E385" s="2">
        <v>45936</v>
      </c>
      <c r="F385" s="2">
        <v>45945</v>
      </c>
      <c r="G385" s="1" t="s">
        <v>14</v>
      </c>
      <c r="H385">
        <v>78</v>
      </c>
      <c r="I385" s="19">
        <f>patients[[#This Row],[departure_date]]-patients[[#This Row],[arrival_date]]</f>
        <v>9</v>
      </c>
      <c r="J385" t="str">
        <f>IF(patients[[#This Row],[age]] &lt; 18,"0-17",IF(patients[[#This Row],[age]] &lt; 40,"18-39",IF(patients[[#This Row],[age]] &lt; 65,"40-64","65+")))</f>
        <v>0-17</v>
      </c>
      <c r="K385" s="1" t="str">
        <f>TEXT(patients[[#This Row],[arrival_date]],"[$-409]mmmm")</f>
        <v>October</v>
      </c>
      <c r="L385" s="1">
        <f>MATCH(K385, {"January";"February";"March";"April";"May";"June";"July";"August";"September";"October";"November";"December"}, 0)</f>
        <v>10</v>
      </c>
      <c r="M385" s="1" t="str" cm="1">
        <f t="array" ref="M385">IF(patients[[#This Row],[length_of_stay]]&gt;patients!$N$2:$N$2,"Over average","Less than average")</f>
        <v>Over average</v>
      </c>
    </row>
    <row r="386" spans="2:13" x14ac:dyDescent="0.25">
      <c r="B386" s="1" t="s">
        <v>778</v>
      </c>
      <c r="C386" s="1" t="s">
        <v>779</v>
      </c>
      <c r="D386">
        <v>68</v>
      </c>
      <c r="E386" s="2">
        <v>45924</v>
      </c>
      <c r="F386" s="2">
        <v>45932</v>
      </c>
      <c r="G386" s="1" t="s">
        <v>14</v>
      </c>
      <c r="H386">
        <v>71</v>
      </c>
      <c r="I386" s="19">
        <f>patients[[#This Row],[departure_date]]-patients[[#This Row],[arrival_date]]</f>
        <v>8</v>
      </c>
      <c r="J386" t="str">
        <f>IF(patients[[#This Row],[age]] &lt; 18,"0-17",IF(patients[[#This Row],[age]] &lt; 40,"18-39",IF(patients[[#This Row],[age]] &lt; 65,"40-64","65+")))</f>
        <v>65+</v>
      </c>
      <c r="K386" s="1" t="str">
        <f>TEXT(patients[[#This Row],[arrival_date]],"[$-409]mmmm")</f>
        <v>September</v>
      </c>
      <c r="L386" s="1">
        <f>MATCH(K386, {"January";"February";"March";"April";"May";"June";"July";"August";"September";"October";"November";"December"}, 0)</f>
        <v>9</v>
      </c>
      <c r="M386" s="1" t="str" cm="1">
        <f t="array" ref="M386">IF(patients[[#This Row],[length_of_stay]]&gt;patients!$N$2:$N$2,"Over average","Less than average")</f>
        <v>Over average</v>
      </c>
    </row>
    <row r="387" spans="2:13" x14ac:dyDescent="0.25">
      <c r="B387" s="1" t="s">
        <v>780</v>
      </c>
      <c r="C387" s="1" t="s">
        <v>781</v>
      </c>
      <c r="D387">
        <v>73</v>
      </c>
      <c r="E387" s="2">
        <v>45954</v>
      </c>
      <c r="F387" s="2">
        <v>45958</v>
      </c>
      <c r="G387" s="1" t="s">
        <v>20</v>
      </c>
      <c r="H387">
        <v>96</v>
      </c>
      <c r="I387" s="19">
        <f>patients[[#This Row],[departure_date]]-patients[[#This Row],[arrival_date]]</f>
        <v>4</v>
      </c>
      <c r="J387" t="str">
        <f>IF(patients[[#This Row],[age]] &lt; 18,"0-17",IF(patients[[#This Row],[age]] &lt; 40,"18-39",IF(patients[[#This Row],[age]] &lt; 65,"40-64","65+")))</f>
        <v>65+</v>
      </c>
      <c r="K387" s="1" t="str">
        <f>TEXT(patients[[#This Row],[arrival_date]],"[$-409]mmmm")</f>
        <v>October</v>
      </c>
      <c r="L387" s="1">
        <f>MATCH(K387, {"January";"February";"March";"April";"May";"June";"July";"August";"September";"October";"November";"December"}, 0)</f>
        <v>10</v>
      </c>
      <c r="M387" s="1" t="str" cm="1">
        <f t="array" ref="M387">IF(patients[[#This Row],[length_of_stay]]&gt;patients!$N$2:$N$2,"Over average","Less than average")</f>
        <v>Less than average</v>
      </c>
    </row>
    <row r="388" spans="2:13" x14ac:dyDescent="0.25">
      <c r="B388" s="1" t="s">
        <v>782</v>
      </c>
      <c r="C388" s="1" t="s">
        <v>783</v>
      </c>
      <c r="D388">
        <v>84</v>
      </c>
      <c r="E388" s="2">
        <v>45712</v>
      </c>
      <c r="F388" s="2">
        <v>45721</v>
      </c>
      <c r="G388" s="1" t="s">
        <v>20</v>
      </c>
      <c r="H388">
        <v>74</v>
      </c>
      <c r="I388" s="19">
        <f>patients[[#This Row],[departure_date]]-patients[[#This Row],[arrival_date]]</f>
        <v>9</v>
      </c>
      <c r="J388" t="str">
        <f>IF(patients[[#This Row],[age]] &lt; 18,"0-17",IF(patients[[#This Row],[age]] &lt; 40,"18-39",IF(patients[[#This Row],[age]] &lt; 65,"40-64","65+")))</f>
        <v>65+</v>
      </c>
      <c r="K388" s="1" t="str">
        <f>TEXT(patients[[#This Row],[arrival_date]],"[$-409]mmmm")</f>
        <v>February</v>
      </c>
      <c r="L388" s="1">
        <f>MATCH(K388, {"January";"February";"March";"April";"May";"June";"July";"August";"September";"October";"November";"December"}, 0)</f>
        <v>2</v>
      </c>
      <c r="M388" s="1" t="str" cm="1">
        <f t="array" ref="M388">IF(patients[[#This Row],[length_of_stay]]&gt;patients!$N$2:$N$2,"Over average","Less than average")</f>
        <v>Over average</v>
      </c>
    </row>
    <row r="389" spans="2:13" x14ac:dyDescent="0.25">
      <c r="B389" s="1" t="s">
        <v>784</v>
      </c>
      <c r="C389" s="1" t="s">
        <v>785</v>
      </c>
      <c r="D389">
        <v>47</v>
      </c>
      <c r="E389" s="2">
        <v>45761</v>
      </c>
      <c r="F389" s="2">
        <v>45763</v>
      </c>
      <c r="G389" s="1" t="s">
        <v>9</v>
      </c>
      <c r="H389">
        <v>79</v>
      </c>
      <c r="I389" s="19">
        <f>patients[[#This Row],[departure_date]]-patients[[#This Row],[arrival_date]]</f>
        <v>2</v>
      </c>
      <c r="J389" t="str">
        <f>IF(patients[[#This Row],[age]] &lt; 18,"0-17",IF(patients[[#This Row],[age]] &lt; 40,"18-39",IF(patients[[#This Row],[age]] &lt; 65,"40-64","65+")))</f>
        <v>40-64</v>
      </c>
      <c r="K389" s="1" t="str">
        <f>TEXT(patients[[#This Row],[arrival_date]],"[$-409]mmmm")</f>
        <v>April</v>
      </c>
      <c r="L389" s="1">
        <f>MATCH(K389, {"January";"February";"March";"April";"May";"June";"July";"August";"September";"October";"November";"December"}, 0)</f>
        <v>4</v>
      </c>
      <c r="M389" s="1" t="str" cm="1">
        <f t="array" ref="M389">IF(patients[[#This Row],[length_of_stay]]&gt;patients!$N$2:$N$2,"Over average","Less than average")</f>
        <v>Less than average</v>
      </c>
    </row>
    <row r="390" spans="2:13" x14ac:dyDescent="0.25">
      <c r="B390" s="1" t="s">
        <v>786</v>
      </c>
      <c r="C390" s="1" t="s">
        <v>787</v>
      </c>
      <c r="D390">
        <v>69</v>
      </c>
      <c r="E390" s="2">
        <v>45920</v>
      </c>
      <c r="F390" s="2">
        <v>45923</v>
      </c>
      <c r="G390" s="1" t="s">
        <v>20</v>
      </c>
      <c r="H390">
        <v>62</v>
      </c>
      <c r="I390" s="19">
        <f>patients[[#This Row],[departure_date]]-patients[[#This Row],[arrival_date]]</f>
        <v>3</v>
      </c>
      <c r="J390" t="str">
        <f>IF(patients[[#This Row],[age]] &lt; 18,"0-17",IF(patients[[#This Row],[age]] &lt; 40,"18-39",IF(patients[[#This Row],[age]] &lt; 65,"40-64","65+")))</f>
        <v>65+</v>
      </c>
      <c r="K390" s="1" t="str">
        <f>TEXT(patients[[#This Row],[arrival_date]],"[$-409]mmmm")</f>
        <v>September</v>
      </c>
      <c r="L390" s="1">
        <f>MATCH(K390, {"January";"February";"March";"April";"May";"June";"July";"August";"September";"October";"November";"December"}, 0)</f>
        <v>9</v>
      </c>
      <c r="M390" s="1" t="str" cm="1">
        <f t="array" ref="M390">IF(patients[[#This Row],[length_of_stay]]&gt;patients!$N$2:$N$2,"Over average","Less than average")</f>
        <v>Less than average</v>
      </c>
    </row>
    <row r="391" spans="2:13" x14ac:dyDescent="0.25">
      <c r="B391" s="1" t="s">
        <v>788</v>
      </c>
      <c r="C391" s="1" t="s">
        <v>789</v>
      </c>
      <c r="D391">
        <v>26</v>
      </c>
      <c r="E391" s="2">
        <v>46020</v>
      </c>
      <c r="F391" s="2">
        <v>46028</v>
      </c>
      <c r="G391" s="1" t="s">
        <v>9</v>
      </c>
      <c r="H391">
        <v>97</v>
      </c>
      <c r="I391" s="19">
        <f>patients[[#This Row],[departure_date]]-patients[[#This Row],[arrival_date]]</f>
        <v>8</v>
      </c>
      <c r="J391" t="str">
        <f>IF(patients[[#This Row],[age]] &lt; 18,"0-17",IF(patients[[#This Row],[age]] &lt; 40,"18-39",IF(patients[[#This Row],[age]] &lt; 65,"40-64","65+")))</f>
        <v>18-39</v>
      </c>
      <c r="K391" s="1" t="str">
        <f>TEXT(patients[[#This Row],[arrival_date]],"[$-409]mmmm")</f>
        <v>December</v>
      </c>
      <c r="L391" s="1">
        <f>MATCH(K391, {"January";"February";"March";"April";"May";"June";"July";"August";"September";"October";"November";"December"}, 0)</f>
        <v>12</v>
      </c>
      <c r="M391" s="1" t="str" cm="1">
        <f t="array" ref="M391">IF(patients[[#This Row],[length_of_stay]]&gt;patients!$N$2:$N$2,"Over average","Less than average")</f>
        <v>Over average</v>
      </c>
    </row>
    <row r="392" spans="2:13" x14ac:dyDescent="0.25">
      <c r="B392" s="1" t="s">
        <v>790</v>
      </c>
      <c r="C392" s="1" t="s">
        <v>791</v>
      </c>
      <c r="D392">
        <v>32</v>
      </c>
      <c r="E392" s="2">
        <v>45786</v>
      </c>
      <c r="F392" s="2">
        <v>45793</v>
      </c>
      <c r="G392" s="1" t="s">
        <v>20</v>
      </c>
      <c r="H392">
        <v>67</v>
      </c>
      <c r="I392" s="19">
        <f>patients[[#This Row],[departure_date]]-patients[[#This Row],[arrival_date]]</f>
        <v>7</v>
      </c>
      <c r="J392" t="str">
        <f>IF(patients[[#This Row],[age]] &lt; 18,"0-17",IF(patients[[#This Row],[age]] &lt; 40,"18-39",IF(patients[[#This Row],[age]] &lt; 65,"40-64","65+")))</f>
        <v>18-39</v>
      </c>
      <c r="K392" s="1" t="str">
        <f>TEXT(patients[[#This Row],[arrival_date]],"[$-409]mmmm")</f>
        <v>May</v>
      </c>
      <c r="L392" s="1">
        <f>MATCH(K392, {"January";"February";"March";"April";"May";"June";"July";"August";"September";"October";"November";"December"}, 0)</f>
        <v>5</v>
      </c>
      <c r="M392" s="1" t="str" cm="1">
        <f t="array" ref="M392">IF(patients[[#This Row],[length_of_stay]]&gt;patients!$N$2:$N$2,"Over average","Less than average")</f>
        <v>Less than average</v>
      </c>
    </row>
    <row r="393" spans="2:13" x14ac:dyDescent="0.25">
      <c r="B393" s="1" t="s">
        <v>792</v>
      </c>
      <c r="C393" s="1" t="s">
        <v>793</v>
      </c>
      <c r="D393">
        <v>31</v>
      </c>
      <c r="E393" s="2">
        <v>45833</v>
      </c>
      <c r="F393" s="2">
        <v>45844</v>
      </c>
      <c r="G393" s="1" t="s">
        <v>20</v>
      </c>
      <c r="H393">
        <v>96</v>
      </c>
      <c r="I393" s="19">
        <f>patients[[#This Row],[departure_date]]-patients[[#This Row],[arrival_date]]</f>
        <v>11</v>
      </c>
      <c r="J393" t="str">
        <f>IF(patients[[#This Row],[age]] &lt; 18,"0-17",IF(patients[[#This Row],[age]] &lt; 40,"18-39",IF(patients[[#This Row],[age]] &lt; 65,"40-64","65+")))</f>
        <v>18-39</v>
      </c>
      <c r="K393" s="1" t="str">
        <f>TEXT(patients[[#This Row],[arrival_date]],"[$-409]mmmm")</f>
        <v>June</v>
      </c>
      <c r="L393" s="1">
        <f>MATCH(K393, {"January";"February";"March";"April";"May";"June";"July";"August";"September";"October";"November";"December"}, 0)</f>
        <v>6</v>
      </c>
      <c r="M393" s="1" t="str" cm="1">
        <f t="array" ref="M393">IF(patients[[#This Row],[length_of_stay]]&gt;patients!$N$2:$N$2,"Over average","Less than average")</f>
        <v>Over average</v>
      </c>
    </row>
    <row r="394" spans="2:13" x14ac:dyDescent="0.25">
      <c r="B394" s="1" t="s">
        <v>794</v>
      </c>
      <c r="C394" s="1" t="s">
        <v>795</v>
      </c>
      <c r="D394">
        <v>3</v>
      </c>
      <c r="E394" s="2">
        <v>45903</v>
      </c>
      <c r="F394" s="2">
        <v>45906</v>
      </c>
      <c r="G394" s="1" t="s">
        <v>9</v>
      </c>
      <c r="H394">
        <v>91</v>
      </c>
      <c r="I394" s="19">
        <f>patients[[#This Row],[departure_date]]-patients[[#This Row],[arrival_date]]</f>
        <v>3</v>
      </c>
      <c r="J394" t="str">
        <f>IF(patients[[#This Row],[age]] &lt; 18,"0-17",IF(patients[[#This Row],[age]] &lt; 40,"18-39",IF(patients[[#This Row],[age]] &lt; 65,"40-64","65+")))</f>
        <v>0-17</v>
      </c>
      <c r="K394" s="1" t="str">
        <f>TEXT(patients[[#This Row],[arrival_date]],"[$-409]mmmm")</f>
        <v>September</v>
      </c>
      <c r="L394" s="1">
        <f>MATCH(K394, {"January";"February";"March";"April";"May";"June";"July";"August";"September";"October";"November";"December"}, 0)</f>
        <v>9</v>
      </c>
      <c r="M394" s="1" t="str" cm="1">
        <f t="array" ref="M394">IF(patients[[#This Row],[length_of_stay]]&gt;patients!$N$2:$N$2,"Over average","Less than average")</f>
        <v>Less than average</v>
      </c>
    </row>
    <row r="395" spans="2:13" x14ac:dyDescent="0.25">
      <c r="B395" s="1" t="s">
        <v>796</v>
      </c>
      <c r="C395" s="1" t="s">
        <v>797</v>
      </c>
      <c r="D395">
        <v>8</v>
      </c>
      <c r="E395" s="2">
        <v>45959</v>
      </c>
      <c r="F395" s="2">
        <v>45966</v>
      </c>
      <c r="G395" s="1" t="s">
        <v>20</v>
      </c>
      <c r="H395">
        <v>75</v>
      </c>
      <c r="I395" s="19">
        <f>patients[[#This Row],[departure_date]]-patients[[#This Row],[arrival_date]]</f>
        <v>7</v>
      </c>
      <c r="J395" t="str">
        <f>IF(patients[[#This Row],[age]] &lt; 18,"0-17",IF(patients[[#This Row],[age]] &lt; 40,"18-39",IF(patients[[#This Row],[age]] &lt; 65,"40-64","65+")))</f>
        <v>0-17</v>
      </c>
      <c r="K395" s="1" t="str">
        <f>TEXT(patients[[#This Row],[arrival_date]],"[$-409]mmmm")</f>
        <v>October</v>
      </c>
      <c r="L395" s="1">
        <f>MATCH(K395, {"January";"February";"March";"April";"May";"June";"July";"August";"September";"October";"November";"December"}, 0)</f>
        <v>10</v>
      </c>
      <c r="M395" s="1" t="str" cm="1">
        <f t="array" ref="M395">IF(patients[[#This Row],[length_of_stay]]&gt;patients!$N$2:$N$2,"Over average","Less than average")</f>
        <v>Less than average</v>
      </c>
    </row>
    <row r="396" spans="2:13" x14ac:dyDescent="0.25">
      <c r="B396" s="1" t="s">
        <v>798</v>
      </c>
      <c r="C396" s="1" t="s">
        <v>799</v>
      </c>
      <c r="D396">
        <v>0</v>
      </c>
      <c r="E396" s="2">
        <v>45766</v>
      </c>
      <c r="F396" s="2">
        <v>45773</v>
      </c>
      <c r="G396" s="1" t="s">
        <v>14</v>
      </c>
      <c r="H396">
        <v>80</v>
      </c>
      <c r="I396" s="19">
        <f>patients[[#This Row],[departure_date]]-patients[[#This Row],[arrival_date]]</f>
        <v>7</v>
      </c>
      <c r="J396" t="str">
        <f>IF(patients[[#This Row],[age]] &lt; 18,"0-17",IF(patients[[#This Row],[age]] &lt; 40,"18-39",IF(patients[[#This Row],[age]] &lt; 65,"40-64","65+")))</f>
        <v>0-17</v>
      </c>
      <c r="K396" s="1" t="str">
        <f>TEXT(patients[[#This Row],[arrival_date]],"[$-409]mmmm")</f>
        <v>April</v>
      </c>
      <c r="L396" s="1">
        <f>MATCH(K396, {"January";"February";"March";"April";"May";"June";"July";"August";"September";"October";"November";"December"}, 0)</f>
        <v>4</v>
      </c>
      <c r="M396" s="1" t="str" cm="1">
        <f t="array" ref="M396">IF(patients[[#This Row],[length_of_stay]]&gt;patients!$N$2:$N$2,"Over average","Less than average")</f>
        <v>Less than average</v>
      </c>
    </row>
    <row r="397" spans="2:13" x14ac:dyDescent="0.25">
      <c r="B397" s="1" t="s">
        <v>800</v>
      </c>
      <c r="C397" s="1" t="s">
        <v>801</v>
      </c>
      <c r="D397">
        <v>29</v>
      </c>
      <c r="E397" s="2">
        <v>45819</v>
      </c>
      <c r="F397" s="2">
        <v>45823</v>
      </c>
      <c r="G397" s="1" t="s">
        <v>17</v>
      </c>
      <c r="H397">
        <v>87</v>
      </c>
      <c r="I397" s="19">
        <f>patients[[#This Row],[departure_date]]-patients[[#This Row],[arrival_date]]</f>
        <v>4</v>
      </c>
      <c r="J397" t="str">
        <f>IF(patients[[#This Row],[age]] &lt; 18,"0-17",IF(patients[[#This Row],[age]] &lt; 40,"18-39",IF(patients[[#This Row],[age]] &lt; 65,"40-64","65+")))</f>
        <v>18-39</v>
      </c>
      <c r="K397" s="1" t="str">
        <f>TEXT(patients[[#This Row],[arrival_date]],"[$-409]mmmm")</f>
        <v>June</v>
      </c>
      <c r="L397" s="1">
        <f>MATCH(K397, {"January";"February";"March";"April";"May";"June";"July";"August";"September";"October";"November";"December"}, 0)</f>
        <v>6</v>
      </c>
      <c r="M397" s="1" t="str" cm="1">
        <f t="array" ref="M397">IF(patients[[#This Row],[length_of_stay]]&gt;patients!$N$2:$N$2,"Over average","Less than average")</f>
        <v>Less than average</v>
      </c>
    </row>
    <row r="398" spans="2:13" x14ac:dyDescent="0.25">
      <c r="B398" s="1" t="s">
        <v>802</v>
      </c>
      <c r="C398" s="1" t="s">
        <v>803</v>
      </c>
      <c r="D398">
        <v>58</v>
      </c>
      <c r="E398" s="2">
        <v>45785</v>
      </c>
      <c r="F398" s="2">
        <v>45796</v>
      </c>
      <c r="G398" s="1" t="s">
        <v>14</v>
      </c>
      <c r="H398">
        <v>64</v>
      </c>
      <c r="I398" s="19">
        <f>patients[[#This Row],[departure_date]]-patients[[#This Row],[arrival_date]]</f>
        <v>11</v>
      </c>
      <c r="J398" t="str">
        <f>IF(patients[[#This Row],[age]] &lt; 18,"0-17",IF(patients[[#This Row],[age]] &lt; 40,"18-39",IF(patients[[#This Row],[age]] &lt; 65,"40-64","65+")))</f>
        <v>40-64</v>
      </c>
      <c r="K398" s="1" t="str">
        <f>TEXT(patients[[#This Row],[arrival_date]],"[$-409]mmmm")</f>
        <v>May</v>
      </c>
      <c r="L398" s="1">
        <f>MATCH(K398, {"January";"February";"March";"April";"May";"June";"July";"August";"September";"October";"November";"December"}, 0)</f>
        <v>5</v>
      </c>
      <c r="M398" s="1" t="str" cm="1">
        <f t="array" ref="M398">IF(patients[[#This Row],[length_of_stay]]&gt;patients!$N$2:$N$2,"Over average","Less than average")</f>
        <v>Over average</v>
      </c>
    </row>
    <row r="399" spans="2:13" x14ac:dyDescent="0.25">
      <c r="B399" s="1" t="s">
        <v>804</v>
      </c>
      <c r="C399" s="1" t="s">
        <v>805</v>
      </c>
      <c r="D399">
        <v>24</v>
      </c>
      <c r="E399" s="2">
        <v>46010</v>
      </c>
      <c r="F399" s="2">
        <v>46014</v>
      </c>
      <c r="G399" s="1" t="s">
        <v>14</v>
      </c>
      <c r="H399">
        <v>84</v>
      </c>
      <c r="I399" s="19">
        <f>patients[[#This Row],[departure_date]]-patients[[#This Row],[arrival_date]]</f>
        <v>4</v>
      </c>
      <c r="J399" t="str">
        <f>IF(patients[[#This Row],[age]] &lt; 18,"0-17",IF(patients[[#This Row],[age]] &lt; 40,"18-39",IF(patients[[#This Row],[age]] &lt; 65,"40-64","65+")))</f>
        <v>18-39</v>
      </c>
      <c r="K399" s="1" t="str">
        <f>TEXT(patients[[#This Row],[arrival_date]],"[$-409]mmmm")</f>
        <v>December</v>
      </c>
      <c r="L399" s="1">
        <f>MATCH(K399, {"January";"February";"March";"April";"May";"June";"July";"August";"September";"October";"November";"December"}, 0)</f>
        <v>12</v>
      </c>
      <c r="M399" s="1" t="str" cm="1">
        <f t="array" ref="M399">IF(patients[[#This Row],[length_of_stay]]&gt;patients!$N$2:$N$2,"Over average","Less than average")</f>
        <v>Less than average</v>
      </c>
    </row>
    <row r="400" spans="2:13" x14ac:dyDescent="0.25">
      <c r="B400" s="1" t="s">
        <v>806</v>
      </c>
      <c r="C400" s="1" t="s">
        <v>807</v>
      </c>
      <c r="D400">
        <v>19</v>
      </c>
      <c r="E400" s="2">
        <v>45811</v>
      </c>
      <c r="F400" s="2">
        <v>45825</v>
      </c>
      <c r="G400" s="1" t="s">
        <v>9</v>
      </c>
      <c r="H400">
        <v>64</v>
      </c>
      <c r="I400" s="19">
        <f>patients[[#This Row],[departure_date]]-patients[[#This Row],[arrival_date]]</f>
        <v>14</v>
      </c>
      <c r="J400" t="str">
        <f>IF(patients[[#This Row],[age]] &lt; 18,"0-17",IF(patients[[#This Row],[age]] &lt; 40,"18-39",IF(patients[[#This Row],[age]] &lt; 65,"40-64","65+")))</f>
        <v>18-39</v>
      </c>
      <c r="K400" s="1" t="str">
        <f>TEXT(patients[[#This Row],[arrival_date]],"[$-409]mmmm")</f>
        <v>June</v>
      </c>
      <c r="L400" s="1">
        <f>MATCH(K400, {"January";"February";"March";"April";"May";"June";"July";"August";"September";"October";"November";"December"}, 0)</f>
        <v>6</v>
      </c>
      <c r="M400" s="1" t="str" cm="1">
        <f t="array" ref="M400">IF(patients[[#This Row],[length_of_stay]]&gt;patients!$N$2:$N$2,"Over average","Less than average")</f>
        <v>Over average</v>
      </c>
    </row>
    <row r="401" spans="2:13" x14ac:dyDescent="0.25">
      <c r="B401" s="1" t="s">
        <v>808</v>
      </c>
      <c r="C401" s="1" t="s">
        <v>809</v>
      </c>
      <c r="D401">
        <v>60</v>
      </c>
      <c r="E401" s="2">
        <v>45922</v>
      </c>
      <c r="F401" s="2">
        <v>45926</v>
      </c>
      <c r="G401" s="1" t="s">
        <v>20</v>
      </c>
      <c r="H401">
        <v>97</v>
      </c>
      <c r="I401" s="19">
        <f>patients[[#This Row],[departure_date]]-patients[[#This Row],[arrival_date]]</f>
        <v>4</v>
      </c>
      <c r="J401" t="str">
        <f>IF(patients[[#This Row],[age]] &lt; 18,"0-17",IF(patients[[#This Row],[age]] &lt; 40,"18-39",IF(patients[[#This Row],[age]] &lt; 65,"40-64","65+")))</f>
        <v>40-64</v>
      </c>
      <c r="K401" s="1" t="str">
        <f>TEXT(patients[[#This Row],[arrival_date]],"[$-409]mmmm")</f>
        <v>September</v>
      </c>
      <c r="L401" s="1">
        <f>MATCH(K401, {"January";"February";"March";"April";"May";"June";"July";"August";"September";"October";"November";"December"}, 0)</f>
        <v>9</v>
      </c>
      <c r="M401" s="1" t="str" cm="1">
        <f t="array" ref="M401">IF(patients[[#This Row],[length_of_stay]]&gt;patients!$N$2:$N$2,"Over average","Less than average")</f>
        <v>Less than average</v>
      </c>
    </row>
    <row r="402" spans="2:13" x14ac:dyDescent="0.25">
      <c r="B402" s="1" t="s">
        <v>810</v>
      </c>
      <c r="C402" s="1" t="s">
        <v>811</v>
      </c>
      <c r="D402">
        <v>49</v>
      </c>
      <c r="E402" s="2">
        <v>45868</v>
      </c>
      <c r="F402" s="2">
        <v>45880</v>
      </c>
      <c r="G402" s="1" t="s">
        <v>9</v>
      </c>
      <c r="H402">
        <v>70</v>
      </c>
      <c r="I402" s="19">
        <f>patients[[#This Row],[departure_date]]-patients[[#This Row],[arrival_date]]</f>
        <v>12</v>
      </c>
      <c r="J402" t="str">
        <f>IF(patients[[#This Row],[age]] &lt; 18,"0-17",IF(patients[[#This Row],[age]] &lt; 40,"18-39",IF(patients[[#This Row],[age]] &lt; 65,"40-64","65+")))</f>
        <v>40-64</v>
      </c>
      <c r="K402" s="1" t="str">
        <f>TEXT(patients[[#This Row],[arrival_date]],"[$-409]mmmm")</f>
        <v>July</v>
      </c>
      <c r="L402" s="1">
        <f>MATCH(K402, {"January";"February";"March";"April";"May";"June";"July";"August";"September";"October";"November";"December"}, 0)</f>
        <v>7</v>
      </c>
      <c r="M402" s="1" t="str" cm="1">
        <f t="array" ref="M402">IF(patients[[#This Row],[length_of_stay]]&gt;patients!$N$2:$N$2,"Over average","Less than average")</f>
        <v>Over average</v>
      </c>
    </row>
    <row r="403" spans="2:13" x14ac:dyDescent="0.25">
      <c r="B403" s="1" t="s">
        <v>812</v>
      </c>
      <c r="C403" s="1" t="s">
        <v>813</v>
      </c>
      <c r="D403">
        <v>65</v>
      </c>
      <c r="E403" s="2">
        <v>46021</v>
      </c>
      <c r="F403" s="2">
        <v>46033</v>
      </c>
      <c r="G403" s="1" t="s">
        <v>14</v>
      </c>
      <c r="H403">
        <v>68</v>
      </c>
      <c r="I403" s="19">
        <f>patients[[#This Row],[departure_date]]-patients[[#This Row],[arrival_date]]</f>
        <v>12</v>
      </c>
      <c r="J403" t="str">
        <f>IF(patients[[#This Row],[age]] &lt; 18,"0-17",IF(patients[[#This Row],[age]] &lt; 40,"18-39",IF(patients[[#This Row],[age]] &lt; 65,"40-64","65+")))</f>
        <v>65+</v>
      </c>
      <c r="K403" s="1" t="str">
        <f>TEXT(patients[[#This Row],[arrival_date]],"[$-409]mmmm")</f>
        <v>December</v>
      </c>
      <c r="L403" s="1">
        <f>MATCH(K403, {"January";"February";"March";"April";"May";"June";"July";"August";"September";"October";"November";"December"}, 0)</f>
        <v>12</v>
      </c>
      <c r="M403" s="1" t="str" cm="1">
        <f t="array" ref="M403">IF(patients[[#This Row],[length_of_stay]]&gt;patients!$N$2:$N$2,"Over average","Less than average")</f>
        <v>Over average</v>
      </c>
    </row>
    <row r="404" spans="2:13" x14ac:dyDescent="0.25">
      <c r="B404" s="1" t="s">
        <v>814</v>
      </c>
      <c r="C404" s="1" t="s">
        <v>815</v>
      </c>
      <c r="D404">
        <v>84</v>
      </c>
      <c r="E404" s="2">
        <v>45883</v>
      </c>
      <c r="F404" s="2">
        <v>45889</v>
      </c>
      <c r="G404" s="1" t="s">
        <v>20</v>
      </c>
      <c r="H404">
        <v>62</v>
      </c>
      <c r="I404" s="19">
        <f>patients[[#This Row],[departure_date]]-patients[[#This Row],[arrival_date]]</f>
        <v>6</v>
      </c>
      <c r="J404" t="str">
        <f>IF(patients[[#This Row],[age]] &lt; 18,"0-17",IF(patients[[#This Row],[age]] &lt; 40,"18-39",IF(patients[[#This Row],[age]] &lt; 65,"40-64","65+")))</f>
        <v>65+</v>
      </c>
      <c r="K404" s="1" t="str">
        <f>TEXT(patients[[#This Row],[arrival_date]],"[$-409]mmmm")</f>
        <v>August</v>
      </c>
      <c r="L404" s="1">
        <f>MATCH(K404, {"January";"February";"March";"April";"May";"June";"July";"August";"September";"October";"November";"December"}, 0)</f>
        <v>8</v>
      </c>
      <c r="M404" s="1" t="str" cm="1">
        <f t="array" ref="M404">IF(patients[[#This Row],[length_of_stay]]&gt;patients!$N$2:$N$2,"Over average","Less than average")</f>
        <v>Less than average</v>
      </c>
    </row>
    <row r="405" spans="2:13" x14ac:dyDescent="0.25">
      <c r="B405" s="1" t="s">
        <v>816</v>
      </c>
      <c r="C405" s="1" t="s">
        <v>817</v>
      </c>
      <c r="D405">
        <v>75</v>
      </c>
      <c r="E405" s="2">
        <v>45943</v>
      </c>
      <c r="F405" s="2">
        <v>45953</v>
      </c>
      <c r="G405" s="1" t="s">
        <v>20</v>
      </c>
      <c r="H405">
        <v>80</v>
      </c>
      <c r="I405" s="19">
        <f>patients[[#This Row],[departure_date]]-patients[[#This Row],[arrival_date]]</f>
        <v>10</v>
      </c>
      <c r="J405" t="str">
        <f>IF(patients[[#This Row],[age]] &lt; 18,"0-17",IF(patients[[#This Row],[age]] &lt; 40,"18-39",IF(patients[[#This Row],[age]] &lt; 65,"40-64","65+")))</f>
        <v>65+</v>
      </c>
      <c r="K405" s="1" t="str">
        <f>TEXT(patients[[#This Row],[arrival_date]],"[$-409]mmmm")</f>
        <v>October</v>
      </c>
      <c r="L405" s="1">
        <f>MATCH(K405, {"January";"February";"March";"April";"May";"June";"July";"August";"September";"October";"November";"December"}, 0)</f>
        <v>10</v>
      </c>
      <c r="M405" s="1" t="str" cm="1">
        <f t="array" ref="M405">IF(patients[[#This Row],[length_of_stay]]&gt;patients!$N$2:$N$2,"Over average","Less than average")</f>
        <v>Over average</v>
      </c>
    </row>
    <row r="406" spans="2:13" x14ac:dyDescent="0.25">
      <c r="B406" s="1" t="s">
        <v>818</v>
      </c>
      <c r="C406" s="1" t="s">
        <v>819</v>
      </c>
      <c r="D406">
        <v>27</v>
      </c>
      <c r="E406" s="2">
        <v>45875</v>
      </c>
      <c r="F406" s="2">
        <v>45889</v>
      </c>
      <c r="G406" s="1" t="s">
        <v>20</v>
      </c>
      <c r="H406">
        <v>92</v>
      </c>
      <c r="I406" s="19">
        <f>patients[[#This Row],[departure_date]]-patients[[#This Row],[arrival_date]]</f>
        <v>14</v>
      </c>
      <c r="J406" t="str">
        <f>IF(patients[[#This Row],[age]] &lt; 18,"0-17",IF(patients[[#This Row],[age]] &lt; 40,"18-39",IF(patients[[#This Row],[age]] &lt; 65,"40-64","65+")))</f>
        <v>18-39</v>
      </c>
      <c r="K406" s="1" t="str">
        <f>TEXT(patients[[#This Row],[arrival_date]],"[$-409]mmmm")</f>
        <v>August</v>
      </c>
      <c r="L406" s="1">
        <f>MATCH(K406, {"January";"February";"March";"April";"May";"June";"July";"August";"September";"October";"November";"December"}, 0)</f>
        <v>8</v>
      </c>
      <c r="M406" s="1" t="str" cm="1">
        <f t="array" ref="M406">IF(patients[[#This Row],[length_of_stay]]&gt;patients!$N$2:$N$2,"Over average","Less than average")</f>
        <v>Over average</v>
      </c>
    </row>
    <row r="407" spans="2:13" x14ac:dyDescent="0.25">
      <c r="B407" s="1" t="s">
        <v>820</v>
      </c>
      <c r="C407" s="1" t="s">
        <v>821</v>
      </c>
      <c r="D407">
        <v>84</v>
      </c>
      <c r="E407" s="2">
        <v>45837</v>
      </c>
      <c r="F407" s="2">
        <v>45839</v>
      </c>
      <c r="G407" s="1" t="s">
        <v>14</v>
      </c>
      <c r="H407">
        <v>77</v>
      </c>
      <c r="I407" s="19">
        <f>patients[[#This Row],[departure_date]]-patients[[#This Row],[arrival_date]]</f>
        <v>2</v>
      </c>
      <c r="J407" t="str">
        <f>IF(patients[[#This Row],[age]] &lt; 18,"0-17",IF(patients[[#This Row],[age]] &lt; 40,"18-39",IF(patients[[#This Row],[age]] &lt; 65,"40-64","65+")))</f>
        <v>65+</v>
      </c>
      <c r="K407" s="1" t="str">
        <f>TEXT(patients[[#This Row],[arrival_date]],"[$-409]mmmm")</f>
        <v>June</v>
      </c>
      <c r="L407" s="1">
        <f>MATCH(K407, {"January";"February";"March";"April";"May";"June";"July";"August";"September";"October";"November";"December"}, 0)</f>
        <v>6</v>
      </c>
      <c r="M407" s="1" t="str" cm="1">
        <f t="array" ref="M407">IF(patients[[#This Row],[length_of_stay]]&gt;patients!$N$2:$N$2,"Over average","Less than average")</f>
        <v>Less than average</v>
      </c>
    </row>
    <row r="408" spans="2:13" x14ac:dyDescent="0.25">
      <c r="B408" s="1" t="s">
        <v>822</v>
      </c>
      <c r="C408" s="1" t="s">
        <v>823</v>
      </c>
      <c r="D408">
        <v>57</v>
      </c>
      <c r="E408" s="2">
        <v>45936</v>
      </c>
      <c r="F408" s="2">
        <v>45942</v>
      </c>
      <c r="G408" s="1" t="s">
        <v>14</v>
      </c>
      <c r="H408">
        <v>76</v>
      </c>
      <c r="I408" s="19">
        <f>patients[[#This Row],[departure_date]]-patients[[#This Row],[arrival_date]]</f>
        <v>6</v>
      </c>
      <c r="J408" t="str">
        <f>IF(patients[[#This Row],[age]] &lt; 18,"0-17",IF(patients[[#This Row],[age]] &lt; 40,"18-39",IF(patients[[#This Row],[age]] &lt; 65,"40-64","65+")))</f>
        <v>40-64</v>
      </c>
      <c r="K408" s="1" t="str">
        <f>TEXT(patients[[#This Row],[arrival_date]],"[$-409]mmmm")</f>
        <v>October</v>
      </c>
      <c r="L408" s="1">
        <f>MATCH(K408, {"January";"February";"March";"April";"May";"June";"July";"August";"September";"October";"November";"December"}, 0)</f>
        <v>10</v>
      </c>
      <c r="M408" s="1" t="str" cm="1">
        <f t="array" ref="M408">IF(patients[[#This Row],[length_of_stay]]&gt;patients!$N$2:$N$2,"Over average","Less than average")</f>
        <v>Less than average</v>
      </c>
    </row>
    <row r="409" spans="2:13" x14ac:dyDescent="0.25">
      <c r="B409" s="1" t="s">
        <v>824</v>
      </c>
      <c r="C409" s="1" t="s">
        <v>825</v>
      </c>
      <c r="D409">
        <v>68</v>
      </c>
      <c r="E409" s="2">
        <v>45796</v>
      </c>
      <c r="F409" s="2">
        <v>45810</v>
      </c>
      <c r="G409" s="1" t="s">
        <v>20</v>
      </c>
      <c r="H409">
        <v>74</v>
      </c>
      <c r="I409" s="19">
        <f>patients[[#This Row],[departure_date]]-patients[[#This Row],[arrival_date]]</f>
        <v>14</v>
      </c>
      <c r="J409" t="str">
        <f>IF(patients[[#This Row],[age]] &lt; 18,"0-17",IF(patients[[#This Row],[age]] &lt; 40,"18-39",IF(patients[[#This Row],[age]] &lt; 65,"40-64","65+")))</f>
        <v>65+</v>
      </c>
      <c r="K409" s="1" t="str">
        <f>TEXT(patients[[#This Row],[arrival_date]],"[$-409]mmmm")</f>
        <v>May</v>
      </c>
      <c r="L409" s="1">
        <f>MATCH(K409, {"January";"February";"March";"April";"May";"June";"July";"August";"September";"October";"November";"December"}, 0)</f>
        <v>5</v>
      </c>
      <c r="M409" s="1" t="str" cm="1">
        <f t="array" ref="M409">IF(patients[[#This Row],[length_of_stay]]&gt;patients!$N$2:$N$2,"Over average","Less than average")</f>
        <v>Over average</v>
      </c>
    </row>
    <row r="410" spans="2:13" x14ac:dyDescent="0.25">
      <c r="B410" s="1" t="s">
        <v>826</v>
      </c>
      <c r="C410" s="1" t="s">
        <v>827</v>
      </c>
      <c r="D410">
        <v>34</v>
      </c>
      <c r="E410" s="2">
        <v>45869</v>
      </c>
      <c r="F410" s="2">
        <v>45882</v>
      </c>
      <c r="G410" s="1" t="s">
        <v>17</v>
      </c>
      <c r="H410">
        <v>75</v>
      </c>
      <c r="I410" s="19">
        <f>patients[[#This Row],[departure_date]]-patients[[#This Row],[arrival_date]]</f>
        <v>13</v>
      </c>
      <c r="J410" t="str">
        <f>IF(patients[[#This Row],[age]] &lt; 18,"0-17",IF(patients[[#This Row],[age]] &lt; 40,"18-39",IF(patients[[#This Row],[age]] &lt; 65,"40-64","65+")))</f>
        <v>18-39</v>
      </c>
      <c r="K410" s="1" t="str">
        <f>TEXT(patients[[#This Row],[arrival_date]],"[$-409]mmmm")</f>
        <v>July</v>
      </c>
      <c r="L410" s="1">
        <f>MATCH(K410, {"January";"February";"March";"April";"May";"June";"July";"August";"September";"October";"November";"December"}, 0)</f>
        <v>7</v>
      </c>
      <c r="M410" s="1" t="str" cm="1">
        <f t="array" ref="M410">IF(patients[[#This Row],[length_of_stay]]&gt;patients!$N$2:$N$2,"Over average","Less than average")</f>
        <v>Over average</v>
      </c>
    </row>
    <row r="411" spans="2:13" x14ac:dyDescent="0.25">
      <c r="B411" s="1" t="s">
        <v>828</v>
      </c>
      <c r="C411" s="1" t="s">
        <v>829</v>
      </c>
      <c r="D411">
        <v>33</v>
      </c>
      <c r="E411" s="2">
        <v>45905</v>
      </c>
      <c r="F411" s="2">
        <v>45917</v>
      </c>
      <c r="G411" s="1" t="s">
        <v>9</v>
      </c>
      <c r="H411">
        <v>98</v>
      </c>
      <c r="I411" s="19">
        <f>patients[[#This Row],[departure_date]]-patients[[#This Row],[arrival_date]]</f>
        <v>12</v>
      </c>
      <c r="J411" t="str">
        <f>IF(patients[[#This Row],[age]] &lt; 18,"0-17",IF(patients[[#This Row],[age]] &lt; 40,"18-39",IF(patients[[#This Row],[age]] &lt; 65,"40-64","65+")))</f>
        <v>18-39</v>
      </c>
      <c r="K411" s="1" t="str">
        <f>TEXT(patients[[#This Row],[arrival_date]],"[$-409]mmmm")</f>
        <v>September</v>
      </c>
      <c r="L411" s="1">
        <f>MATCH(K411, {"January";"February";"March";"April";"May";"June";"July";"August";"September";"October";"November";"December"}, 0)</f>
        <v>9</v>
      </c>
      <c r="M411" s="1" t="str" cm="1">
        <f t="array" ref="M411">IF(patients[[#This Row],[length_of_stay]]&gt;patients!$N$2:$N$2,"Over average","Less than average")</f>
        <v>Over average</v>
      </c>
    </row>
    <row r="412" spans="2:13" x14ac:dyDescent="0.25">
      <c r="B412" s="1" t="s">
        <v>830</v>
      </c>
      <c r="C412" s="1" t="s">
        <v>831</v>
      </c>
      <c r="D412">
        <v>69</v>
      </c>
      <c r="E412" s="2">
        <v>45805</v>
      </c>
      <c r="F412" s="2">
        <v>45817</v>
      </c>
      <c r="G412" s="1" t="s">
        <v>17</v>
      </c>
      <c r="H412">
        <v>60</v>
      </c>
      <c r="I412" s="19">
        <f>patients[[#This Row],[departure_date]]-patients[[#This Row],[arrival_date]]</f>
        <v>12</v>
      </c>
      <c r="J412" t="str">
        <f>IF(patients[[#This Row],[age]] &lt; 18,"0-17",IF(patients[[#This Row],[age]] &lt; 40,"18-39",IF(patients[[#This Row],[age]] &lt; 65,"40-64","65+")))</f>
        <v>65+</v>
      </c>
      <c r="K412" s="1" t="str">
        <f>TEXT(patients[[#This Row],[arrival_date]],"[$-409]mmmm")</f>
        <v>May</v>
      </c>
      <c r="L412" s="1">
        <f>MATCH(K412, {"January";"February";"March";"April";"May";"June";"July";"August";"September";"October";"November";"December"}, 0)</f>
        <v>5</v>
      </c>
      <c r="M412" s="1" t="str" cm="1">
        <f t="array" ref="M412">IF(patients[[#This Row],[length_of_stay]]&gt;patients!$N$2:$N$2,"Over average","Less than average")</f>
        <v>Over average</v>
      </c>
    </row>
    <row r="413" spans="2:13" x14ac:dyDescent="0.25">
      <c r="B413" s="1" t="s">
        <v>832</v>
      </c>
      <c r="C413" s="1" t="s">
        <v>833</v>
      </c>
      <c r="D413">
        <v>71</v>
      </c>
      <c r="E413" s="2">
        <v>46000</v>
      </c>
      <c r="F413" s="2">
        <v>46003</v>
      </c>
      <c r="G413" s="1" t="s">
        <v>14</v>
      </c>
      <c r="H413">
        <v>63</v>
      </c>
      <c r="I413" s="19">
        <f>patients[[#This Row],[departure_date]]-patients[[#This Row],[arrival_date]]</f>
        <v>3</v>
      </c>
      <c r="J413" t="str">
        <f>IF(patients[[#This Row],[age]] &lt; 18,"0-17",IF(patients[[#This Row],[age]] &lt; 40,"18-39",IF(patients[[#This Row],[age]] &lt; 65,"40-64","65+")))</f>
        <v>65+</v>
      </c>
      <c r="K413" s="1" t="str">
        <f>TEXT(patients[[#This Row],[arrival_date]],"[$-409]mmmm")</f>
        <v>December</v>
      </c>
      <c r="L413" s="1">
        <f>MATCH(K413, {"January";"February";"March";"April";"May";"June";"July";"August";"September";"October";"November";"December"}, 0)</f>
        <v>12</v>
      </c>
      <c r="M413" s="1" t="str" cm="1">
        <f t="array" ref="M413">IF(patients[[#This Row],[length_of_stay]]&gt;patients!$N$2:$N$2,"Over average","Less than average")</f>
        <v>Less than average</v>
      </c>
    </row>
    <row r="414" spans="2:13" x14ac:dyDescent="0.25">
      <c r="B414" s="1" t="s">
        <v>834</v>
      </c>
      <c r="C414" s="1" t="s">
        <v>835</v>
      </c>
      <c r="D414">
        <v>57</v>
      </c>
      <c r="E414" s="2">
        <v>45960</v>
      </c>
      <c r="F414" s="2">
        <v>45966</v>
      </c>
      <c r="G414" s="1" t="s">
        <v>17</v>
      </c>
      <c r="H414">
        <v>74</v>
      </c>
      <c r="I414" s="19">
        <f>patients[[#This Row],[departure_date]]-patients[[#This Row],[arrival_date]]</f>
        <v>6</v>
      </c>
      <c r="J414" t="str">
        <f>IF(patients[[#This Row],[age]] &lt; 18,"0-17",IF(patients[[#This Row],[age]] &lt; 40,"18-39",IF(patients[[#This Row],[age]] &lt; 65,"40-64","65+")))</f>
        <v>40-64</v>
      </c>
      <c r="K414" s="1" t="str">
        <f>TEXT(patients[[#This Row],[arrival_date]],"[$-409]mmmm")</f>
        <v>October</v>
      </c>
      <c r="L414" s="1">
        <f>MATCH(K414, {"January";"February";"March";"April";"May";"June";"July";"August";"September";"October";"November";"December"}, 0)</f>
        <v>10</v>
      </c>
      <c r="M414" s="1" t="str" cm="1">
        <f t="array" ref="M414">IF(patients[[#This Row],[length_of_stay]]&gt;patients!$N$2:$N$2,"Over average","Less than average")</f>
        <v>Less than average</v>
      </c>
    </row>
    <row r="415" spans="2:13" x14ac:dyDescent="0.25">
      <c r="B415" s="1" t="s">
        <v>836</v>
      </c>
      <c r="C415" s="1" t="s">
        <v>837</v>
      </c>
      <c r="D415">
        <v>62</v>
      </c>
      <c r="E415" s="2">
        <v>45884</v>
      </c>
      <c r="F415" s="2">
        <v>45893</v>
      </c>
      <c r="G415" s="1" t="s">
        <v>17</v>
      </c>
      <c r="H415">
        <v>73</v>
      </c>
      <c r="I415" s="19">
        <f>patients[[#This Row],[departure_date]]-patients[[#This Row],[arrival_date]]</f>
        <v>9</v>
      </c>
      <c r="J415" t="str">
        <f>IF(patients[[#This Row],[age]] &lt; 18,"0-17",IF(patients[[#This Row],[age]] &lt; 40,"18-39",IF(patients[[#This Row],[age]] &lt; 65,"40-64","65+")))</f>
        <v>40-64</v>
      </c>
      <c r="K415" s="1" t="str">
        <f>TEXT(patients[[#This Row],[arrival_date]],"[$-409]mmmm")</f>
        <v>August</v>
      </c>
      <c r="L415" s="1">
        <f>MATCH(K415, {"January";"February";"March";"April";"May";"June";"July";"August";"September";"October";"November";"December"}, 0)</f>
        <v>8</v>
      </c>
      <c r="M415" s="1" t="str" cm="1">
        <f t="array" ref="M415">IF(patients[[#This Row],[length_of_stay]]&gt;patients!$N$2:$N$2,"Over average","Less than average")</f>
        <v>Over average</v>
      </c>
    </row>
    <row r="416" spans="2:13" x14ac:dyDescent="0.25">
      <c r="B416" s="1" t="s">
        <v>838</v>
      </c>
      <c r="C416" s="1" t="s">
        <v>839</v>
      </c>
      <c r="D416">
        <v>75</v>
      </c>
      <c r="E416" s="2">
        <v>45696</v>
      </c>
      <c r="F416" s="2">
        <v>45705</v>
      </c>
      <c r="G416" s="1" t="s">
        <v>17</v>
      </c>
      <c r="H416">
        <v>94</v>
      </c>
      <c r="I416" s="19">
        <f>patients[[#This Row],[departure_date]]-patients[[#This Row],[arrival_date]]</f>
        <v>9</v>
      </c>
      <c r="J416" t="str">
        <f>IF(patients[[#This Row],[age]] &lt; 18,"0-17",IF(patients[[#This Row],[age]] &lt; 40,"18-39",IF(patients[[#This Row],[age]] &lt; 65,"40-64","65+")))</f>
        <v>65+</v>
      </c>
      <c r="K416" s="1" t="str">
        <f>TEXT(patients[[#This Row],[arrival_date]],"[$-409]mmmm")</f>
        <v>February</v>
      </c>
      <c r="L416" s="1">
        <f>MATCH(K416, {"January";"February";"March";"April";"May";"June";"July";"August";"September";"October";"November";"December"}, 0)</f>
        <v>2</v>
      </c>
      <c r="M416" s="1" t="str" cm="1">
        <f t="array" ref="M416">IF(patients[[#This Row],[length_of_stay]]&gt;patients!$N$2:$N$2,"Over average","Less than average")</f>
        <v>Over average</v>
      </c>
    </row>
    <row r="417" spans="2:13" x14ac:dyDescent="0.25">
      <c r="B417" s="1" t="s">
        <v>840</v>
      </c>
      <c r="C417" s="1" t="s">
        <v>841</v>
      </c>
      <c r="D417">
        <v>76</v>
      </c>
      <c r="E417" s="2">
        <v>45867</v>
      </c>
      <c r="F417" s="2">
        <v>45870</v>
      </c>
      <c r="G417" s="1" t="s">
        <v>14</v>
      </c>
      <c r="H417">
        <v>92</v>
      </c>
      <c r="I417" s="19">
        <f>patients[[#This Row],[departure_date]]-patients[[#This Row],[arrival_date]]</f>
        <v>3</v>
      </c>
      <c r="J417" t="str">
        <f>IF(patients[[#This Row],[age]] &lt; 18,"0-17",IF(patients[[#This Row],[age]] &lt; 40,"18-39",IF(patients[[#This Row],[age]] &lt; 65,"40-64","65+")))</f>
        <v>65+</v>
      </c>
      <c r="K417" s="1" t="str">
        <f>TEXT(patients[[#This Row],[arrival_date]],"[$-409]mmmm")</f>
        <v>July</v>
      </c>
      <c r="L417" s="1">
        <f>MATCH(K417, {"January";"February";"March";"April";"May";"June";"July";"August";"September";"October";"November";"December"}, 0)</f>
        <v>7</v>
      </c>
      <c r="M417" s="1" t="str" cm="1">
        <f t="array" ref="M417">IF(patients[[#This Row],[length_of_stay]]&gt;patients!$N$2:$N$2,"Over average","Less than average")</f>
        <v>Less than average</v>
      </c>
    </row>
    <row r="418" spans="2:13" x14ac:dyDescent="0.25">
      <c r="B418" s="1" t="s">
        <v>842</v>
      </c>
      <c r="C418" s="1" t="s">
        <v>843</v>
      </c>
      <c r="D418">
        <v>5</v>
      </c>
      <c r="E418" s="2">
        <v>45876</v>
      </c>
      <c r="F418" s="2">
        <v>45883</v>
      </c>
      <c r="G418" s="1" t="s">
        <v>14</v>
      </c>
      <c r="H418">
        <v>86</v>
      </c>
      <c r="I418" s="19">
        <f>patients[[#This Row],[departure_date]]-patients[[#This Row],[arrival_date]]</f>
        <v>7</v>
      </c>
      <c r="J418" t="str">
        <f>IF(patients[[#This Row],[age]] &lt; 18,"0-17",IF(patients[[#This Row],[age]] &lt; 40,"18-39",IF(patients[[#This Row],[age]] &lt; 65,"40-64","65+")))</f>
        <v>0-17</v>
      </c>
      <c r="K418" s="1" t="str">
        <f>TEXT(patients[[#This Row],[arrival_date]],"[$-409]mmmm")</f>
        <v>August</v>
      </c>
      <c r="L418" s="1">
        <f>MATCH(K418, {"January";"February";"March";"April";"May";"June";"July";"August";"September";"October";"November";"December"}, 0)</f>
        <v>8</v>
      </c>
      <c r="M418" s="1" t="str" cm="1">
        <f t="array" ref="M418">IF(patients[[#This Row],[length_of_stay]]&gt;patients!$N$2:$N$2,"Over average","Less than average")</f>
        <v>Less than average</v>
      </c>
    </row>
    <row r="419" spans="2:13" x14ac:dyDescent="0.25">
      <c r="B419" s="1" t="s">
        <v>844</v>
      </c>
      <c r="C419" s="1" t="s">
        <v>845</v>
      </c>
      <c r="D419">
        <v>45</v>
      </c>
      <c r="E419" s="2">
        <v>45799</v>
      </c>
      <c r="F419" s="2">
        <v>45803</v>
      </c>
      <c r="G419" s="1" t="s">
        <v>9</v>
      </c>
      <c r="H419">
        <v>67</v>
      </c>
      <c r="I419" s="19">
        <f>patients[[#This Row],[departure_date]]-patients[[#This Row],[arrival_date]]</f>
        <v>4</v>
      </c>
      <c r="J419" t="str">
        <f>IF(patients[[#This Row],[age]] &lt; 18,"0-17",IF(patients[[#This Row],[age]] &lt; 40,"18-39",IF(patients[[#This Row],[age]] &lt; 65,"40-64","65+")))</f>
        <v>40-64</v>
      </c>
      <c r="K419" s="1" t="str">
        <f>TEXT(patients[[#This Row],[arrival_date]],"[$-409]mmmm")</f>
        <v>May</v>
      </c>
      <c r="L419" s="1">
        <f>MATCH(K419, {"January";"February";"March";"April";"May";"June";"July";"August";"September";"October";"November";"December"}, 0)</f>
        <v>5</v>
      </c>
      <c r="M419" s="1" t="str" cm="1">
        <f t="array" ref="M419">IF(patients[[#This Row],[length_of_stay]]&gt;patients!$N$2:$N$2,"Over average","Less than average")</f>
        <v>Less than average</v>
      </c>
    </row>
    <row r="420" spans="2:13" x14ac:dyDescent="0.25">
      <c r="B420" s="1" t="s">
        <v>846</v>
      </c>
      <c r="C420" s="1" t="s">
        <v>847</v>
      </c>
      <c r="D420">
        <v>61</v>
      </c>
      <c r="E420" s="2">
        <v>45804</v>
      </c>
      <c r="F420" s="2">
        <v>45818</v>
      </c>
      <c r="G420" s="1" t="s">
        <v>14</v>
      </c>
      <c r="H420">
        <v>73</v>
      </c>
      <c r="I420" s="19">
        <f>patients[[#This Row],[departure_date]]-patients[[#This Row],[arrival_date]]</f>
        <v>14</v>
      </c>
      <c r="J420" t="str">
        <f>IF(patients[[#This Row],[age]] &lt; 18,"0-17",IF(patients[[#This Row],[age]] &lt; 40,"18-39",IF(patients[[#This Row],[age]] &lt; 65,"40-64","65+")))</f>
        <v>40-64</v>
      </c>
      <c r="K420" s="1" t="str">
        <f>TEXT(patients[[#This Row],[arrival_date]],"[$-409]mmmm")</f>
        <v>May</v>
      </c>
      <c r="L420" s="1">
        <f>MATCH(K420, {"January";"February";"March";"April";"May";"June";"July";"August";"September";"October";"November";"December"}, 0)</f>
        <v>5</v>
      </c>
      <c r="M420" s="1" t="str" cm="1">
        <f t="array" ref="M420">IF(patients[[#This Row],[length_of_stay]]&gt;patients!$N$2:$N$2,"Over average","Less than average")</f>
        <v>Over average</v>
      </c>
    </row>
    <row r="421" spans="2:13" x14ac:dyDescent="0.25">
      <c r="B421" s="1" t="s">
        <v>848</v>
      </c>
      <c r="C421" s="1" t="s">
        <v>849</v>
      </c>
      <c r="D421">
        <v>83</v>
      </c>
      <c r="E421" s="2">
        <v>45938</v>
      </c>
      <c r="F421" s="2">
        <v>45946</v>
      </c>
      <c r="G421" s="1" t="s">
        <v>17</v>
      </c>
      <c r="H421">
        <v>83</v>
      </c>
      <c r="I421" s="19">
        <f>patients[[#This Row],[departure_date]]-patients[[#This Row],[arrival_date]]</f>
        <v>8</v>
      </c>
      <c r="J421" t="str">
        <f>IF(patients[[#This Row],[age]] &lt; 18,"0-17",IF(patients[[#This Row],[age]] &lt; 40,"18-39",IF(patients[[#This Row],[age]] &lt; 65,"40-64","65+")))</f>
        <v>65+</v>
      </c>
      <c r="K421" s="1" t="str">
        <f>TEXT(patients[[#This Row],[arrival_date]],"[$-409]mmmm")</f>
        <v>October</v>
      </c>
      <c r="L421" s="1">
        <f>MATCH(K421, {"January";"February";"March";"April";"May";"June";"July";"August";"September";"October";"November";"December"}, 0)</f>
        <v>10</v>
      </c>
      <c r="M421" s="1" t="str" cm="1">
        <f t="array" ref="M421">IF(patients[[#This Row],[length_of_stay]]&gt;patients!$N$2:$N$2,"Over average","Less than average")</f>
        <v>Over average</v>
      </c>
    </row>
    <row r="422" spans="2:13" x14ac:dyDescent="0.25">
      <c r="B422" s="1" t="s">
        <v>850</v>
      </c>
      <c r="C422" s="1" t="s">
        <v>851</v>
      </c>
      <c r="D422">
        <v>13</v>
      </c>
      <c r="E422" s="2">
        <v>45759</v>
      </c>
      <c r="F422" s="2">
        <v>45766</v>
      </c>
      <c r="G422" s="1" t="s">
        <v>9</v>
      </c>
      <c r="H422">
        <v>81</v>
      </c>
      <c r="I422" s="19">
        <f>patients[[#This Row],[departure_date]]-patients[[#This Row],[arrival_date]]</f>
        <v>7</v>
      </c>
      <c r="J422" t="str">
        <f>IF(patients[[#This Row],[age]] &lt; 18,"0-17",IF(patients[[#This Row],[age]] &lt; 40,"18-39",IF(patients[[#This Row],[age]] &lt; 65,"40-64","65+")))</f>
        <v>0-17</v>
      </c>
      <c r="K422" s="1" t="str">
        <f>TEXT(patients[[#This Row],[arrival_date]],"[$-409]mmmm")</f>
        <v>April</v>
      </c>
      <c r="L422" s="1">
        <f>MATCH(K422, {"January";"February";"March";"April";"May";"June";"July";"August";"September";"October";"November";"December"}, 0)</f>
        <v>4</v>
      </c>
      <c r="M422" s="1" t="str" cm="1">
        <f t="array" ref="M422">IF(patients[[#This Row],[length_of_stay]]&gt;patients!$N$2:$N$2,"Over average","Less than average")</f>
        <v>Less than average</v>
      </c>
    </row>
    <row r="423" spans="2:13" x14ac:dyDescent="0.25">
      <c r="B423" s="1" t="s">
        <v>852</v>
      </c>
      <c r="C423" s="1" t="s">
        <v>853</v>
      </c>
      <c r="D423">
        <v>47</v>
      </c>
      <c r="E423" s="2">
        <v>45740</v>
      </c>
      <c r="F423" s="2">
        <v>45754</v>
      </c>
      <c r="G423" s="1" t="s">
        <v>17</v>
      </c>
      <c r="H423">
        <v>62</v>
      </c>
      <c r="I423" s="19">
        <f>patients[[#This Row],[departure_date]]-patients[[#This Row],[arrival_date]]</f>
        <v>14</v>
      </c>
      <c r="J423" t="str">
        <f>IF(patients[[#This Row],[age]] &lt; 18,"0-17",IF(patients[[#This Row],[age]] &lt; 40,"18-39",IF(patients[[#This Row],[age]] &lt; 65,"40-64","65+")))</f>
        <v>40-64</v>
      </c>
      <c r="K423" s="1" t="str">
        <f>TEXT(patients[[#This Row],[arrival_date]],"[$-409]mmmm")</f>
        <v>March</v>
      </c>
      <c r="L423" s="1">
        <f>MATCH(K423, {"January";"February";"March";"April";"May";"June";"July";"August";"September";"October";"November";"December"}, 0)</f>
        <v>3</v>
      </c>
      <c r="M423" s="1" t="str" cm="1">
        <f t="array" ref="M423">IF(patients[[#This Row],[length_of_stay]]&gt;patients!$N$2:$N$2,"Over average","Less than average")</f>
        <v>Over average</v>
      </c>
    </row>
    <row r="424" spans="2:13" x14ac:dyDescent="0.25">
      <c r="B424" s="1" t="s">
        <v>854</v>
      </c>
      <c r="C424" s="1" t="s">
        <v>855</v>
      </c>
      <c r="D424">
        <v>41</v>
      </c>
      <c r="E424" s="2">
        <v>45858</v>
      </c>
      <c r="F424" s="2">
        <v>45870</v>
      </c>
      <c r="G424" s="1" t="s">
        <v>14</v>
      </c>
      <c r="H424">
        <v>79</v>
      </c>
      <c r="I424" s="19">
        <f>patients[[#This Row],[departure_date]]-patients[[#This Row],[arrival_date]]</f>
        <v>12</v>
      </c>
      <c r="J424" t="str">
        <f>IF(patients[[#This Row],[age]] &lt; 18,"0-17",IF(patients[[#This Row],[age]] &lt; 40,"18-39",IF(patients[[#This Row],[age]] &lt; 65,"40-64","65+")))</f>
        <v>40-64</v>
      </c>
      <c r="K424" s="1" t="str">
        <f>TEXT(patients[[#This Row],[arrival_date]],"[$-409]mmmm")</f>
        <v>July</v>
      </c>
      <c r="L424" s="1">
        <f>MATCH(K424, {"January";"February";"March";"April";"May";"June";"July";"August";"September";"October";"November";"December"}, 0)</f>
        <v>7</v>
      </c>
      <c r="M424" s="1" t="str" cm="1">
        <f t="array" ref="M424">IF(patients[[#This Row],[length_of_stay]]&gt;patients!$N$2:$N$2,"Over average","Less than average")</f>
        <v>Over average</v>
      </c>
    </row>
    <row r="425" spans="2:13" x14ac:dyDescent="0.25">
      <c r="B425" s="1" t="s">
        <v>856</v>
      </c>
      <c r="C425" s="1" t="s">
        <v>857</v>
      </c>
      <c r="D425">
        <v>44</v>
      </c>
      <c r="E425" s="2">
        <v>45863</v>
      </c>
      <c r="F425" s="2">
        <v>45872</v>
      </c>
      <c r="G425" s="1" t="s">
        <v>14</v>
      </c>
      <c r="H425">
        <v>78</v>
      </c>
      <c r="I425" s="19">
        <f>patients[[#This Row],[departure_date]]-patients[[#This Row],[arrival_date]]</f>
        <v>9</v>
      </c>
      <c r="J425" t="str">
        <f>IF(patients[[#This Row],[age]] &lt; 18,"0-17",IF(patients[[#This Row],[age]] &lt; 40,"18-39",IF(patients[[#This Row],[age]] &lt; 65,"40-64","65+")))</f>
        <v>40-64</v>
      </c>
      <c r="K425" s="1" t="str">
        <f>TEXT(patients[[#This Row],[arrival_date]],"[$-409]mmmm")</f>
        <v>July</v>
      </c>
      <c r="L425" s="1">
        <f>MATCH(K425, {"January";"February";"March";"April";"May";"June";"July";"August";"September";"October";"November";"December"}, 0)</f>
        <v>7</v>
      </c>
      <c r="M425" s="1" t="str" cm="1">
        <f t="array" ref="M425">IF(patients[[#This Row],[length_of_stay]]&gt;patients!$N$2:$N$2,"Over average","Less than average")</f>
        <v>Over average</v>
      </c>
    </row>
    <row r="426" spans="2:13" x14ac:dyDescent="0.25">
      <c r="B426" s="1" t="s">
        <v>858</v>
      </c>
      <c r="C426" s="1" t="s">
        <v>859</v>
      </c>
      <c r="D426">
        <v>46</v>
      </c>
      <c r="E426" s="2">
        <v>45777</v>
      </c>
      <c r="F426" s="2">
        <v>45783</v>
      </c>
      <c r="G426" s="1" t="s">
        <v>20</v>
      </c>
      <c r="H426">
        <v>95</v>
      </c>
      <c r="I426" s="19">
        <f>patients[[#This Row],[departure_date]]-patients[[#This Row],[arrival_date]]</f>
        <v>6</v>
      </c>
      <c r="J426" t="str">
        <f>IF(patients[[#This Row],[age]] &lt; 18,"0-17",IF(patients[[#This Row],[age]] &lt; 40,"18-39",IF(patients[[#This Row],[age]] &lt; 65,"40-64","65+")))</f>
        <v>40-64</v>
      </c>
      <c r="K426" s="1" t="str">
        <f>TEXT(patients[[#This Row],[arrival_date]],"[$-409]mmmm")</f>
        <v>April</v>
      </c>
      <c r="L426" s="1">
        <f>MATCH(K426, {"January";"February";"March";"April";"May";"June";"July";"August";"September";"October";"November";"December"}, 0)</f>
        <v>4</v>
      </c>
      <c r="M426" s="1" t="str" cm="1">
        <f t="array" ref="M426">IF(patients[[#This Row],[length_of_stay]]&gt;patients!$N$2:$N$2,"Over average","Less than average")</f>
        <v>Less than average</v>
      </c>
    </row>
    <row r="427" spans="2:13" x14ac:dyDescent="0.25">
      <c r="B427" s="1" t="s">
        <v>860</v>
      </c>
      <c r="C427" s="1" t="s">
        <v>861</v>
      </c>
      <c r="D427">
        <v>39</v>
      </c>
      <c r="E427" s="2">
        <v>45943</v>
      </c>
      <c r="F427" s="2">
        <v>45952</v>
      </c>
      <c r="G427" s="1" t="s">
        <v>17</v>
      </c>
      <c r="H427">
        <v>92</v>
      </c>
      <c r="I427" s="19">
        <f>patients[[#This Row],[departure_date]]-patients[[#This Row],[arrival_date]]</f>
        <v>9</v>
      </c>
      <c r="J427" t="str">
        <f>IF(patients[[#This Row],[age]] &lt; 18,"0-17",IF(patients[[#This Row],[age]] &lt; 40,"18-39",IF(patients[[#This Row],[age]] &lt; 65,"40-64","65+")))</f>
        <v>18-39</v>
      </c>
      <c r="K427" s="1" t="str">
        <f>TEXT(patients[[#This Row],[arrival_date]],"[$-409]mmmm")</f>
        <v>October</v>
      </c>
      <c r="L427" s="1">
        <f>MATCH(K427, {"January";"February";"March";"April";"May";"June";"July";"August";"September";"October";"November";"December"}, 0)</f>
        <v>10</v>
      </c>
      <c r="M427" s="1" t="str" cm="1">
        <f t="array" ref="M427">IF(patients[[#This Row],[length_of_stay]]&gt;patients!$N$2:$N$2,"Over average","Less than average")</f>
        <v>Over average</v>
      </c>
    </row>
    <row r="428" spans="2:13" x14ac:dyDescent="0.25">
      <c r="B428" s="1" t="s">
        <v>862</v>
      </c>
      <c r="C428" s="1" t="s">
        <v>863</v>
      </c>
      <c r="D428">
        <v>51</v>
      </c>
      <c r="E428" s="2">
        <v>45799</v>
      </c>
      <c r="F428" s="2">
        <v>45810</v>
      </c>
      <c r="G428" s="1" t="s">
        <v>17</v>
      </c>
      <c r="H428">
        <v>94</v>
      </c>
      <c r="I428" s="19">
        <f>patients[[#This Row],[departure_date]]-patients[[#This Row],[arrival_date]]</f>
        <v>11</v>
      </c>
      <c r="J428" t="str">
        <f>IF(patients[[#This Row],[age]] &lt; 18,"0-17",IF(patients[[#This Row],[age]] &lt; 40,"18-39",IF(patients[[#This Row],[age]] &lt; 65,"40-64","65+")))</f>
        <v>40-64</v>
      </c>
      <c r="K428" s="1" t="str">
        <f>TEXT(patients[[#This Row],[arrival_date]],"[$-409]mmmm")</f>
        <v>May</v>
      </c>
      <c r="L428" s="1">
        <f>MATCH(K428, {"January";"February";"March";"April";"May";"June";"July";"August";"September";"October";"November";"December"}, 0)</f>
        <v>5</v>
      </c>
      <c r="M428" s="1" t="str" cm="1">
        <f t="array" ref="M428">IF(patients[[#This Row],[length_of_stay]]&gt;patients!$N$2:$N$2,"Over average","Less than average")</f>
        <v>Over average</v>
      </c>
    </row>
    <row r="429" spans="2:13" x14ac:dyDescent="0.25">
      <c r="B429" s="1" t="s">
        <v>864</v>
      </c>
      <c r="C429" s="1" t="s">
        <v>865</v>
      </c>
      <c r="D429">
        <v>58</v>
      </c>
      <c r="E429" s="2">
        <v>45879</v>
      </c>
      <c r="F429" s="2">
        <v>45888</v>
      </c>
      <c r="G429" s="1" t="s">
        <v>9</v>
      </c>
      <c r="H429">
        <v>63</v>
      </c>
      <c r="I429" s="19">
        <f>patients[[#This Row],[departure_date]]-patients[[#This Row],[arrival_date]]</f>
        <v>9</v>
      </c>
      <c r="J429" t="str">
        <f>IF(patients[[#This Row],[age]] &lt; 18,"0-17",IF(patients[[#This Row],[age]] &lt; 40,"18-39",IF(patients[[#This Row],[age]] &lt; 65,"40-64","65+")))</f>
        <v>40-64</v>
      </c>
      <c r="K429" s="1" t="str">
        <f>TEXT(patients[[#This Row],[arrival_date]],"[$-409]mmmm")</f>
        <v>August</v>
      </c>
      <c r="L429" s="1">
        <f>MATCH(K429, {"January";"February";"March";"April";"May";"June";"July";"August";"September";"October";"November";"December"}, 0)</f>
        <v>8</v>
      </c>
      <c r="M429" s="1" t="str" cm="1">
        <f t="array" ref="M429">IF(patients[[#This Row],[length_of_stay]]&gt;patients!$N$2:$N$2,"Over average","Less than average")</f>
        <v>Over average</v>
      </c>
    </row>
    <row r="430" spans="2:13" x14ac:dyDescent="0.25">
      <c r="B430" s="1" t="s">
        <v>866</v>
      </c>
      <c r="C430" s="1" t="s">
        <v>867</v>
      </c>
      <c r="D430">
        <v>67</v>
      </c>
      <c r="E430" s="2">
        <v>45921</v>
      </c>
      <c r="F430" s="2">
        <v>45923</v>
      </c>
      <c r="G430" s="1" t="s">
        <v>20</v>
      </c>
      <c r="H430">
        <v>81</v>
      </c>
      <c r="I430" s="19">
        <f>patients[[#This Row],[departure_date]]-patients[[#This Row],[arrival_date]]</f>
        <v>2</v>
      </c>
      <c r="J430" t="str">
        <f>IF(patients[[#This Row],[age]] &lt; 18,"0-17",IF(patients[[#This Row],[age]] &lt; 40,"18-39",IF(patients[[#This Row],[age]] &lt; 65,"40-64","65+")))</f>
        <v>65+</v>
      </c>
      <c r="K430" s="1" t="str">
        <f>TEXT(patients[[#This Row],[arrival_date]],"[$-409]mmmm")</f>
        <v>September</v>
      </c>
      <c r="L430" s="1">
        <f>MATCH(K430, {"January";"February";"March";"April";"May";"June";"July";"August";"September";"October";"November";"December"}, 0)</f>
        <v>9</v>
      </c>
      <c r="M430" s="1" t="str" cm="1">
        <f t="array" ref="M430">IF(patients[[#This Row],[length_of_stay]]&gt;patients!$N$2:$N$2,"Over average","Less than average")</f>
        <v>Less than average</v>
      </c>
    </row>
    <row r="431" spans="2:13" x14ac:dyDescent="0.25">
      <c r="B431" s="1" t="s">
        <v>868</v>
      </c>
      <c r="C431" s="1" t="s">
        <v>266</v>
      </c>
      <c r="D431">
        <v>40</v>
      </c>
      <c r="E431" s="2">
        <v>45784</v>
      </c>
      <c r="F431" s="2">
        <v>45791</v>
      </c>
      <c r="G431" s="1" t="s">
        <v>20</v>
      </c>
      <c r="H431">
        <v>75</v>
      </c>
      <c r="I431" s="19">
        <f>patients[[#This Row],[departure_date]]-patients[[#This Row],[arrival_date]]</f>
        <v>7</v>
      </c>
      <c r="J431" t="str">
        <f>IF(patients[[#This Row],[age]] &lt; 18,"0-17",IF(patients[[#This Row],[age]] &lt; 40,"18-39",IF(patients[[#This Row],[age]] &lt; 65,"40-64","65+")))</f>
        <v>40-64</v>
      </c>
      <c r="K431" s="1" t="str">
        <f>TEXT(patients[[#This Row],[arrival_date]],"[$-409]mmmm")</f>
        <v>May</v>
      </c>
      <c r="L431" s="1">
        <f>MATCH(K431, {"January";"February";"March";"April";"May";"June";"July";"August";"September";"October";"November";"December"}, 0)</f>
        <v>5</v>
      </c>
      <c r="M431" s="1" t="str" cm="1">
        <f t="array" ref="M431">IF(patients[[#This Row],[length_of_stay]]&gt;patients!$N$2:$N$2,"Over average","Less than average")</f>
        <v>Less than average</v>
      </c>
    </row>
    <row r="432" spans="2:13" x14ac:dyDescent="0.25">
      <c r="B432" s="1" t="s">
        <v>869</v>
      </c>
      <c r="C432" s="1" t="s">
        <v>870</v>
      </c>
      <c r="D432">
        <v>61</v>
      </c>
      <c r="E432" s="2">
        <v>45815</v>
      </c>
      <c r="F432" s="2">
        <v>45827</v>
      </c>
      <c r="G432" s="1" t="s">
        <v>17</v>
      </c>
      <c r="H432">
        <v>94</v>
      </c>
      <c r="I432" s="19">
        <f>patients[[#This Row],[departure_date]]-patients[[#This Row],[arrival_date]]</f>
        <v>12</v>
      </c>
      <c r="J432" t="str">
        <f>IF(patients[[#This Row],[age]] &lt; 18,"0-17",IF(patients[[#This Row],[age]] &lt; 40,"18-39",IF(patients[[#This Row],[age]] &lt; 65,"40-64","65+")))</f>
        <v>40-64</v>
      </c>
      <c r="K432" s="1" t="str">
        <f>TEXT(patients[[#This Row],[arrival_date]],"[$-409]mmmm")</f>
        <v>June</v>
      </c>
      <c r="L432" s="1">
        <f>MATCH(K432, {"January";"February";"March";"April";"May";"June";"July";"August";"September";"October";"November";"December"}, 0)</f>
        <v>6</v>
      </c>
      <c r="M432" s="1" t="str" cm="1">
        <f t="array" ref="M432">IF(patients[[#This Row],[length_of_stay]]&gt;patients!$N$2:$N$2,"Over average","Less than average")</f>
        <v>Over average</v>
      </c>
    </row>
    <row r="433" spans="2:13" x14ac:dyDescent="0.25">
      <c r="B433" s="1" t="s">
        <v>871</v>
      </c>
      <c r="C433" s="1" t="s">
        <v>872</v>
      </c>
      <c r="D433">
        <v>10</v>
      </c>
      <c r="E433" s="2">
        <v>45707</v>
      </c>
      <c r="F433" s="2">
        <v>45712</v>
      </c>
      <c r="G433" s="1" t="s">
        <v>20</v>
      </c>
      <c r="H433">
        <v>80</v>
      </c>
      <c r="I433" s="19">
        <f>patients[[#This Row],[departure_date]]-patients[[#This Row],[arrival_date]]</f>
        <v>5</v>
      </c>
      <c r="J433" t="str">
        <f>IF(patients[[#This Row],[age]] &lt; 18,"0-17",IF(patients[[#This Row],[age]] &lt; 40,"18-39",IF(patients[[#This Row],[age]] &lt; 65,"40-64","65+")))</f>
        <v>0-17</v>
      </c>
      <c r="K433" s="1" t="str">
        <f>TEXT(patients[[#This Row],[arrival_date]],"[$-409]mmmm")</f>
        <v>February</v>
      </c>
      <c r="L433" s="1">
        <f>MATCH(K433, {"January";"February";"March";"April";"May";"June";"July";"August";"September";"October";"November";"December"}, 0)</f>
        <v>2</v>
      </c>
      <c r="M433" s="1" t="str" cm="1">
        <f t="array" ref="M433">IF(patients[[#This Row],[length_of_stay]]&gt;patients!$N$2:$N$2,"Over average","Less than average")</f>
        <v>Less than average</v>
      </c>
    </row>
    <row r="434" spans="2:13" x14ac:dyDescent="0.25">
      <c r="B434" s="1" t="s">
        <v>873</v>
      </c>
      <c r="C434" s="1" t="s">
        <v>874</v>
      </c>
      <c r="D434">
        <v>68</v>
      </c>
      <c r="E434" s="2">
        <v>45933</v>
      </c>
      <c r="F434" s="2">
        <v>45938</v>
      </c>
      <c r="G434" s="1" t="s">
        <v>20</v>
      </c>
      <c r="H434">
        <v>62</v>
      </c>
      <c r="I434" s="19">
        <f>patients[[#This Row],[departure_date]]-patients[[#This Row],[arrival_date]]</f>
        <v>5</v>
      </c>
      <c r="J434" t="str">
        <f>IF(patients[[#This Row],[age]] &lt; 18,"0-17",IF(patients[[#This Row],[age]] &lt; 40,"18-39",IF(patients[[#This Row],[age]] &lt; 65,"40-64","65+")))</f>
        <v>65+</v>
      </c>
      <c r="K434" s="1" t="str">
        <f>TEXT(patients[[#This Row],[arrival_date]],"[$-409]mmmm")</f>
        <v>October</v>
      </c>
      <c r="L434" s="1">
        <f>MATCH(K434, {"January";"February";"March";"April";"May";"June";"July";"August";"September";"October";"November";"December"}, 0)</f>
        <v>10</v>
      </c>
      <c r="M434" s="1" t="str" cm="1">
        <f t="array" ref="M434">IF(patients[[#This Row],[length_of_stay]]&gt;patients!$N$2:$N$2,"Over average","Less than average")</f>
        <v>Less than average</v>
      </c>
    </row>
    <row r="435" spans="2:13" x14ac:dyDescent="0.25">
      <c r="B435" s="1" t="s">
        <v>875</v>
      </c>
      <c r="C435" s="1" t="s">
        <v>876</v>
      </c>
      <c r="D435">
        <v>43</v>
      </c>
      <c r="E435" s="2">
        <v>45858</v>
      </c>
      <c r="F435" s="2">
        <v>45871</v>
      </c>
      <c r="G435" s="1" t="s">
        <v>17</v>
      </c>
      <c r="H435">
        <v>68</v>
      </c>
      <c r="I435" s="19">
        <f>patients[[#This Row],[departure_date]]-patients[[#This Row],[arrival_date]]</f>
        <v>13</v>
      </c>
      <c r="J435" t="str">
        <f>IF(patients[[#This Row],[age]] &lt; 18,"0-17",IF(patients[[#This Row],[age]] &lt; 40,"18-39",IF(patients[[#This Row],[age]] &lt; 65,"40-64","65+")))</f>
        <v>40-64</v>
      </c>
      <c r="K435" s="1" t="str">
        <f>TEXT(patients[[#This Row],[arrival_date]],"[$-409]mmmm")</f>
        <v>July</v>
      </c>
      <c r="L435" s="1">
        <f>MATCH(K435, {"January";"February";"March";"April";"May";"June";"July";"August";"September";"October";"November";"December"}, 0)</f>
        <v>7</v>
      </c>
      <c r="M435" s="1" t="str" cm="1">
        <f t="array" ref="M435">IF(patients[[#This Row],[length_of_stay]]&gt;patients!$N$2:$N$2,"Over average","Less than average")</f>
        <v>Over average</v>
      </c>
    </row>
    <row r="436" spans="2:13" x14ac:dyDescent="0.25">
      <c r="B436" s="1" t="s">
        <v>877</v>
      </c>
      <c r="C436" s="1" t="s">
        <v>878</v>
      </c>
      <c r="D436">
        <v>67</v>
      </c>
      <c r="E436" s="2">
        <v>45873</v>
      </c>
      <c r="F436" s="2">
        <v>45874</v>
      </c>
      <c r="G436" s="1" t="s">
        <v>14</v>
      </c>
      <c r="H436">
        <v>67</v>
      </c>
      <c r="I436" s="19">
        <f>patients[[#This Row],[departure_date]]-patients[[#This Row],[arrival_date]]</f>
        <v>1</v>
      </c>
      <c r="J436" t="str">
        <f>IF(patients[[#This Row],[age]] &lt; 18,"0-17",IF(patients[[#This Row],[age]] &lt; 40,"18-39",IF(patients[[#This Row],[age]] &lt; 65,"40-64","65+")))</f>
        <v>65+</v>
      </c>
      <c r="K436" s="1" t="str">
        <f>TEXT(patients[[#This Row],[arrival_date]],"[$-409]mmmm")</f>
        <v>August</v>
      </c>
      <c r="L436" s="1">
        <f>MATCH(K436, {"January";"February";"March";"April";"May";"June";"July";"August";"September";"October";"November";"December"}, 0)</f>
        <v>8</v>
      </c>
      <c r="M436" s="1" t="str" cm="1">
        <f t="array" ref="M436">IF(patients[[#This Row],[length_of_stay]]&gt;patients!$N$2:$N$2,"Over average","Less than average")</f>
        <v>Less than average</v>
      </c>
    </row>
    <row r="437" spans="2:13" x14ac:dyDescent="0.25">
      <c r="B437" s="1" t="s">
        <v>879</v>
      </c>
      <c r="C437" s="1" t="s">
        <v>880</v>
      </c>
      <c r="D437">
        <v>44</v>
      </c>
      <c r="E437" s="2">
        <v>45989</v>
      </c>
      <c r="F437" s="2">
        <v>45995</v>
      </c>
      <c r="G437" s="1" t="s">
        <v>14</v>
      </c>
      <c r="H437">
        <v>71</v>
      </c>
      <c r="I437" s="19">
        <f>patients[[#This Row],[departure_date]]-patients[[#This Row],[arrival_date]]</f>
        <v>6</v>
      </c>
      <c r="J437" t="str">
        <f>IF(patients[[#This Row],[age]] &lt; 18,"0-17",IF(patients[[#This Row],[age]] &lt; 40,"18-39",IF(patients[[#This Row],[age]] &lt; 65,"40-64","65+")))</f>
        <v>40-64</v>
      </c>
      <c r="K437" s="1" t="str">
        <f>TEXT(patients[[#This Row],[arrival_date]],"[$-409]mmmm")</f>
        <v>November</v>
      </c>
      <c r="L437" s="1">
        <f>MATCH(K437, {"January";"February";"March";"April";"May";"June";"July";"August";"September";"October";"November";"December"}, 0)</f>
        <v>11</v>
      </c>
      <c r="M437" s="1" t="str" cm="1">
        <f t="array" ref="M437">IF(patients[[#This Row],[length_of_stay]]&gt;patients!$N$2:$N$2,"Over average","Less than average")</f>
        <v>Less than average</v>
      </c>
    </row>
    <row r="438" spans="2:13" x14ac:dyDescent="0.25">
      <c r="B438" s="1" t="s">
        <v>881</v>
      </c>
      <c r="C438" s="1" t="s">
        <v>882</v>
      </c>
      <c r="D438">
        <v>45</v>
      </c>
      <c r="E438" s="2">
        <v>45672</v>
      </c>
      <c r="F438" s="2">
        <v>45681</v>
      </c>
      <c r="G438" s="1" t="s">
        <v>14</v>
      </c>
      <c r="H438">
        <v>78</v>
      </c>
      <c r="I438" s="19">
        <f>patients[[#This Row],[departure_date]]-patients[[#This Row],[arrival_date]]</f>
        <v>9</v>
      </c>
      <c r="J438" t="str">
        <f>IF(patients[[#This Row],[age]] &lt; 18,"0-17",IF(patients[[#This Row],[age]] &lt; 40,"18-39",IF(patients[[#This Row],[age]] &lt; 65,"40-64","65+")))</f>
        <v>40-64</v>
      </c>
      <c r="K438" s="1" t="str">
        <f>TEXT(patients[[#This Row],[arrival_date]],"[$-409]mmmm")</f>
        <v>January</v>
      </c>
      <c r="L438" s="1">
        <f>MATCH(K438, {"January";"February";"March";"April";"May";"June";"July";"August";"September";"October";"November";"December"}, 0)</f>
        <v>1</v>
      </c>
      <c r="M438" s="1" t="str" cm="1">
        <f t="array" ref="M438">IF(patients[[#This Row],[length_of_stay]]&gt;patients!$N$2:$N$2,"Over average","Less than average")</f>
        <v>Over average</v>
      </c>
    </row>
    <row r="439" spans="2:13" x14ac:dyDescent="0.25">
      <c r="B439" s="1" t="s">
        <v>883</v>
      </c>
      <c r="C439" s="1" t="s">
        <v>884</v>
      </c>
      <c r="D439">
        <v>25</v>
      </c>
      <c r="E439" s="2">
        <v>45750</v>
      </c>
      <c r="F439" s="2">
        <v>45756</v>
      </c>
      <c r="G439" s="1" t="s">
        <v>20</v>
      </c>
      <c r="H439">
        <v>99</v>
      </c>
      <c r="I439" s="19">
        <f>patients[[#This Row],[departure_date]]-patients[[#This Row],[arrival_date]]</f>
        <v>6</v>
      </c>
      <c r="J439" t="str">
        <f>IF(patients[[#This Row],[age]] &lt; 18,"0-17",IF(patients[[#This Row],[age]] &lt; 40,"18-39",IF(patients[[#This Row],[age]] &lt; 65,"40-64","65+")))</f>
        <v>18-39</v>
      </c>
      <c r="K439" s="1" t="str">
        <f>TEXT(patients[[#This Row],[arrival_date]],"[$-409]mmmm")</f>
        <v>April</v>
      </c>
      <c r="L439" s="1">
        <f>MATCH(K439, {"January";"February";"March";"April";"May";"June";"July";"August";"September";"October";"November";"December"}, 0)</f>
        <v>4</v>
      </c>
      <c r="M439" s="1" t="str" cm="1">
        <f t="array" ref="M439">IF(patients[[#This Row],[length_of_stay]]&gt;patients!$N$2:$N$2,"Over average","Less than average")</f>
        <v>Less than average</v>
      </c>
    </row>
    <row r="440" spans="2:13" x14ac:dyDescent="0.25">
      <c r="B440" s="1" t="s">
        <v>885</v>
      </c>
      <c r="C440" s="1" t="s">
        <v>886</v>
      </c>
      <c r="D440">
        <v>20</v>
      </c>
      <c r="E440" s="2">
        <v>45695</v>
      </c>
      <c r="F440" s="2">
        <v>45699</v>
      </c>
      <c r="G440" s="1" t="s">
        <v>14</v>
      </c>
      <c r="H440">
        <v>88</v>
      </c>
      <c r="I440" s="19">
        <f>patients[[#This Row],[departure_date]]-patients[[#This Row],[arrival_date]]</f>
        <v>4</v>
      </c>
      <c r="J440" t="str">
        <f>IF(patients[[#This Row],[age]] &lt; 18,"0-17",IF(patients[[#This Row],[age]] &lt; 40,"18-39",IF(patients[[#This Row],[age]] &lt; 65,"40-64","65+")))</f>
        <v>18-39</v>
      </c>
      <c r="K440" s="1" t="str">
        <f>TEXT(patients[[#This Row],[arrival_date]],"[$-409]mmmm")</f>
        <v>February</v>
      </c>
      <c r="L440" s="1">
        <f>MATCH(K440, {"January";"February";"March";"April";"May";"June";"July";"August";"September";"October";"November";"December"}, 0)</f>
        <v>2</v>
      </c>
      <c r="M440" s="1" t="str" cm="1">
        <f t="array" ref="M440">IF(patients[[#This Row],[length_of_stay]]&gt;patients!$N$2:$N$2,"Over average","Less than average")</f>
        <v>Less than average</v>
      </c>
    </row>
    <row r="441" spans="2:13" x14ac:dyDescent="0.25">
      <c r="B441" s="1" t="s">
        <v>887</v>
      </c>
      <c r="C441" s="1" t="s">
        <v>888</v>
      </c>
      <c r="D441">
        <v>50</v>
      </c>
      <c r="E441" s="2">
        <v>45968</v>
      </c>
      <c r="F441" s="2">
        <v>45975</v>
      </c>
      <c r="G441" s="1" t="s">
        <v>20</v>
      </c>
      <c r="H441">
        <v>87</v>
      </c>
      <c r="I441" s="19">
        <f>patients[[#This Row],[departure_date]]-patients[[#This Row],[arrival_date]]</f>
        <v>7</v>
      </c>
      <c r="J441" t="str">
        <f>IF(patients[[#This Row],[age]] &lt; 18,"0-17",IF(patients[[#This Row],[age]] &lt; 40,"18-39",IF(patients[[#This Row],[age]] &lt; 65,"40-64","65+")))</f>
        <v>40-64</v>
      </c>
      <c r="K441" s="1" t="str">
        <f>TEXT(patients[[#This Row],[arrival_date]],"[$-409]mmmm")</f>
        <v>November</v>
      </c>
      <c r="L441" s="1">
        <f>MATCH(K441, {"January";"February";"March";"April";"May";"June";"July";"August";"September";"October";"November";"December"}, 0)</f>
        <v>11</v>
      </c>
      <c r="M441" s="1" t="str" cm="1">
        <f t="array" ref="M441">IF(patients[[#This Row],[length_of_stay]]&gt;patients!$N$2:$N$2,"Over average","Less than average")</f>
        <v>Less than average</v>
      </c>
    </row>
    <row r="442" spans="2:13" x14ac:dyDescent="0.25">
      <c r="B442" s="1" t="s">
        <v>889</v>
      </c>
      <c r="C442" s="1" t="s">
        <v>890</v>
      </c>
      <c r="D442">
        <v>27</v>
      </c>
      <c r="E442" s="2">
        <v>45733</v>
      </c>
      <c r="F442" s="2">
        <v>45746</v>
      </c>
      <c r="G442" s="1" t="s">
        <v>20</v>
      </c>
      <c r="H442">
        <v>62</v>
      </c>
      <c r="I442" s="19">
        <f>patients[[#This Row],[departure_date]]-patients[[#This Row],[arrival_date]]</f>
        <v>13</v>
      </c>
      <c r="J442" t="str">
        <f>IF(patients[[#This Row],[age]] &lt; 18,"0-17",IF(patients[[#This Row],[age]] &lt; 40,"18-39",IF(patients[[#This Row],[age]] &lt; 65,"40-64","65+")))</f>
        <v>18-39</v>
      </c>
      <c r="K442" s="1" t="str">
        <f>TEXT(patients[[#This Row],[arrival_date]],"[$-409]mmmm")</f>
        <v>March</v>
      </c>
      <c r="L442" s="1">
        <f>MATCH(K442, {"January";"February";"March";"April";"May";"June";"July";"August";"September";"October";"November";"December"}, 0)</f>
        <v>3</v>
      </c>
      <c r="M442" s="1" t="str" cm="1">
        <f t="array" ref="M442">IF(patients[[#This Row],[length_of_stay]]&gt;patients!$N$2:$N$2,"Over average","Less than average")</f>
        <v>Over average</v>
      </c>
    </row>
    <row r="443" spans="2:13" x14ac:dyDescent="0.25">
      <c r="B443" s="1" t="s">
        <v>891</v>
      </c>
      <c r="C443" s="1" t="s">
        <v>892</v>
      </c>
      <c r="D443">
        <v>85</v>
      </c>
      <c r="E443" s="2">
        <v>45851</v>
      </c>
      <c r="F443" s="2">
        <v>45859</v>
      </c>
      <c r="G443" s="1" t="s">
        <v>20</v>
      </c>
      <c r="H443">
        <v>93</v>
      </c>
      <c r="I443" s="19">
        <f>patients[[#This Row],[departure_date]]-patients[[#This Row],[arrival_date]]</f>
        <v>8</v>
      </c>
      <c r="J443" t="str">
        <f>IF(patients[[#This Row],[age]] &lt; 18,"0-17",IF(patients[[#This Row],[age]] &lt; 40,"18-39",IF(patients[[#This Row],[age]] &lt; 65,"40-64","65+")))</f>
        <v>65+</v>
      </c>
      <c r="K443" s="1" t="str">
        <f>TEXT(patients[[#This Row],[arrival_date]],"[$-409]mmmm")</f>
        <v>July</v>
      </c>
      <c r="L443" s="1">
        <f>MATCH(K443, {"January";"February";"March";"April";"May";"June";"July";"August";"September";"October";"November";"December"}, 0)</f>
        <v>7</v>
      </c>
      <c r="M443" s="1" t="str" cm="1">
        <f t="array" ref="M443">IF(patients[[#This Row],[length_of_stay]]&gt;patients!$N$2:$N$2,"Over average","Less than average")</f>
        <v>Over average</v>
      </c>
    </row>
    <row r="444" spans="2:13" x14ac:dyDescent="0.25">
      <c r="B444" s="1" t="s">
        <v>893</v>
      </c>
      <c r="C444" s="1" t="s">
        <v>894</v>
      </c>
      <c r="D444">
        <v>54</v>
      </c>
      <c r="E444" s="2">
        <v>45914</v>
      </c>
      <c r="F444" s="2">
        <v>45922</v>
      </c>
      <c r="G444" s="1" t="s">
        <v>17</v>
      </c>
      <c r="H444">
        <v>82</v>
      </c>
      <c r="I444" s="19">
        <f>patients[[#This Row],[departure_date]]-patients[[#This Row],[arrival_date]]</f>
        <v>8</v>
      </c>
      <c r="J444" t="str">
        <f>IF(patients[[#This Row],[age]] &lt; 18,"0-17",IF(patients[[#This Row],[age]] &lt; 40,"18-39",IF(patients[[#This Row],[age]] &lt; 65,"40-64","65+")))</f>
        <v>40-64</v>
      </c>
      <c r="K444" s="1" t="str">
        <f>TEXT(patients[[#This Row],[arrival_date]],"[$-409]mmmm")</f>
        <v>September</v>
      </c>
      <c r="L444" s="1">
        <f>MATCH(K444, {"January";"February";"March";"April";"May";"June";"July";"August";"September";"October";"November";"December"}, 0)</f>
        <v>9</v>
      </c>
      <c r="M444" s="1" t="str" cm="1">
        <f t="array" ref="M444">IF(patients[[#This Row],[length_of_stay]]&gt;patients!$N$2:$N$2,"Over average","Less than average")</f>
        <v>Over average</v>
      </c>
    </row>
    <row r="445" spans="2:13" x14ac:dyDescent="0.25">
      <c r="B445" s="1" t="s">
        <v>895</v>
      </c>
      <c r="C445" s="1" t="s">
        <v>896</v>
      </c>
      <c r="D445">
        <v>37</v>
      </c>
      <c r="E445" s="2">
        <v>45871</v>
      </c>
      <c r="F445" s="2">
        <v>45880</v>
      </c>
      <c r="G445" s="1" t="s">
        <v>9</v>
      </c>
      <c r="H445">
        <v>77</v>
      </c>
      <c r="I445" s="19">
        <f>patients[[#This Row],[departure_date]]-patients[[#This Row],[arrival_date]]</f>
        <v>9</v>
      </c>
      <c r="J445" t="str">
        <f>IF(patients[[#This Row],[age]] &lt; 18,"0-17",IF(patients[[#This Row],[age]] &lt; 40,"18-39",IF(patients[[#This Row],[age]] &lt; 65,"40-64","65+")))</f>
        <v>18-39</v>
      </c>
      <c r="K445" s="1" t="str">
        <f>TEXT(patients[[#This Row],[arrival_date]],"[$-409]mmmm")</f>
        <v>August</v>
      </c>
      <c r="L445" s="1">
        <f>MATCH(K445, {"January";"February";"March";"April";"May";"June";"July";"August";"September";"October";"November";"December"}, 0)</f>
        <v>8</v>
      </c>
      <c r="M445" s="1" t="str" cm="1">
        <f t="array" ref="M445">IF(patients[[#This Row],[length_of_stay]]&gt;patients!$N$2:$N$2,"Over average","Less than average")</f>
        <v>Over average</v>
      </c>
    </row>
    <row r="446" spans="2:13" x14ac:dyDescent="0.25">
      <c r="B446" s="1" t="s">
        <v>897</v>
      </c>
      <c r="C446" s="1" t="s">
        <v>898</v>
      </c>
      <c r="D446">
        <v>16</v>
      </c>
      <c r="E446" s="2">
        <v>45925</v>
      </c>
      <c r="F446" s="2">
        <v>45931</v>
      </c>
      <c r="G446" s="1" t="s">
        <v>17</v>
      </c>
      <c r="H446">
        <v>85</v>
      </c>
      <c r="I446" s="19">
        <f>patients[[#This Row],[departure_date]]-patients[[#This Row],[arrival_date]]</f>
        <v>6</v>
      </c>
      <c r="J446" t="str">
        <f>IF(patients[[#This Row],[age]] &lt; 18,"0-17",IF(patients[[#This Row],[age]] &lt; 40,"18-39",IF(patients[[#This Row],[age]] &lt; 65,"40-64","65+")))</f>
        <v>0-17</v>
      </c>
      <c r="K446" s="1" t="str">
        <f>TEXT(patients[[#This Row],[arrival_date]],"[$-409]mmmm")</f>
        <v>September</v>
      </c>
      <c r="L446" s="1">
        <f>MATCH(K446, {"January";"February";"March";"April";"May";"June";"July";"August";"September";"October";"November";"December"}, 0)</f>
        <v>9</v>
      </c>
      <c r="M446" s="1" t="str" cm="1">
        <f t="array" ref="M446">IF(patients[[#This Row],[length_of_stay]]&gt;patients!$N$2:$N$2,"Over average","Less than average")</f>
        <v>Less than average</v>
      </c>
    </row>
    <row r="447" spans="2:13" x14ac:dyDescent="0.25">
      <c r="B447" s="1" t="s">
        <v>899</v>
      </c>
      <c r="C447" s="1" t="s">
        <v>900</v>
      </c>
      <c r="D447">
        <v>26</v>
      </c>
      <c r="E447" s="2">
        <v>46019</v>
      </c>
      <c r="F447" s="2">
        <v>46020</v>
      </c>
      <c r="G447" s="1" t="s">
        <v>20</v>
      </c>
      <c r="H447">
        <v>88</v>
      </c>
      <c r="I447" s="19">
        <f>patients[[#This Row],[departure_date]]-patients[[#This Row],[arrival_date]]</f>
        <v>1</v>
      </c>
      <c r="J447" t="str">
        <f>IF(patients[[#This Row],[age]] &lt; 18,"0-17",IF(patients[[#This Row],[age]] &lt; 40,"18-39",IF(patients[[#This Row],[age]] &lt; 65,"40-64","65+")))</f>
        <v>18-39</v>
      </c>
      <c r="K447" s="1" t="str">
        <f>TEXT(patients[[#This Row],[arrival_date]],"[$-409]mmmm")</f>
        <v>December</v>
      </c>
      <c r="L447" s="1">
        <f>MATCH(K447, {"January";"February";"March";"April";"May";"June";"July";"August";"September";"October";"November";"December"}, 0)</f>
        <v>12</v>
      </c>
      <c r="M447" s="1" t="str" cm="1">
        <f t="array" ref="M447">IF(patients[[#This Row],[length_of_stay]]&gt;patients!$N$2:$N$2,"Over average","Less than average")</f>
        <v>Less than average</v>
      </c>
    </row>
    <row r="448" spans="2:13" x14ac:dyDescent="0.25">
      <c r="B448" s="1" t="s">
        <v>901</v>
      </c>
      <c r="C448" s="1" t="s">
        <v>902</v>
      </c>
      <c r="D448">
        <v>39</v>
      </c>
      <c r="E448" s="2">
        <v>45948</v>
      </c>
      <c r="F448" s="2">
        <v>45961</v>
      </c>
      <c r="G448" s="1" t="s">
        <v>9</v>
      </c>
      <c r="H448">
        <v>79</v>
      </c>
      <c r="I448" s="19">
        <f>patients[[#This Row],[departure_date]]-patients[[#This Row],[arrival_date]]</f>
        <v>13</v>
      </c>
      <c r="J448" t="str">
        <f>IF(patients[[#This Row],[age]] &lt; 18,"0-17",IF(patients[[#This Row],[age]] &lt; 40,"18-39",IF(patients[[#This Row],[age]] &lt; 65,"40-64","65+")))</f>
        <v>18-39</v>
      </c>
      <c r="K448" s="1" t="str">
        <f>TEXT(patients[[#This Row],[arrival_date]],"[$-409]mmmm")</f>
        <v>October</v>
      </c>
      <c r="L448" s="1">
        <f>MATCH(K448, {"January";"February";"March";"April";"May";"June";"July";"August";"September";"October";"November";"December"}, 0)</f>
        <v>10</v>
      </c>
      <c r="M448" s="1" t="str" cm="1">
        <f t="array" ref="M448">IF(patients[[#This Row],[length_of_stay]]&gt;patients!$N$2:$N$2,"Over average","Less than average")</f>
        <v>Over average</v>
      </c>
    </row>
    <row r="449" spans="2:13" x14ac:dyDescent="0.25">
      <c r="B449" s="1" t="s">
        <v>903</v>
      </c>
      <c r="C449" s="1" t="s">
        <v>904</v>
      </c>
      <c r="D449">
        <v>55</v>
      </c>
      <c r="E449" s="2">
        <v>45798</v>
      </c>
      <c r="F449" s="2">
        <v>45811</v>
      </c>
      <c r="G449" s="1" t="s">
        <v>17</v>
      </c>
      <c r="H449">
        <v>97</v>
      </c>
      <c r="I449" s="19">
        <f>patients[[#This Row],[departure_date]]-patients[[#This Row],[arrival_date]]</f>
        <v>13</v>
      </c>
      <c r="J449" t="str">
        <f>IF(patients[[#This Row],[age]] &lt; 18,"0-17",IF(patients[[#This Row],[age]] &lt; 40,"18-39",IF(patients[[#This Row],[age]] &lt; 65,"40-64","65+")))</f>
        <v>40-64</v>
      </c>
      <c r="K449" s="1" t="str">
        <f>TEXT(patients[[#This Row],[arrival_date]],"[$-409]mmmm")</f>
        <v>May</v>
      </c>
      <c r="L449" s="1">
        <f>MATCH(K449, {"January";"February";"March";"April";"May";"June";"July";"August";"September";"October";"November";"December"}, 0)</f>
        <v>5</v>
      </c>
      <c r="M449" s="1" t="str" cm="1">
        <f t="array" ref="M449">IF(patients[[#This Row],[length_of_stay]]&gt;patients!$N$2:$N$2,"Over average","Less than average")</f>
        <v>Over average</v>
      </c>
    </row>
    <row r="450" spans="2:13" x14ac:dyDescent="0.25">
      <c r="B450" s="1" t="s">
        <v>905</v>
      </c>
      <c r="C450" s="1" t="s">
        <v>906</v>
      </c>
      <c r="D450">
        <v>48</v>
      </c>
      <c r="E450" s="2">
        <v>45847</v>
      </c>
      <c r="F450" s="2">
        <v>45855</v>
      </c>
      <c r="G450" s="1" t="s">
        <v>9</v>
      </c>
      <c r="H450">
        <v>79</v>
      </c>
      <c r="I450" s="19">
        <f>patients[[#This Row],[departure_date]]-patients[[#This Row],[arrival_date]]</f>
        <v>8</v>
      </c>
      <c r="J450" t="str">
        <f>IF(patients[[#This Row],[age]] &lt; 18,"0-17",IF(patients[[#This Row],[age]] &lt; 40,"18-39",IF(patients[[#This Row],[age]] &lt; 65,"40-64","65+")))</f>
        <v>40-64</v>
      </c>
      <c r="K450" s="1" t="str">
        <f>TEXT(patients[[#This Row],[arrival_date]],"[$-409]mmmm")</f>
        <v>July</v>
      </c>
      <c r="L450" s="1">
        <f>MATCH(K450, {"January";"February";"March";"April";"May";"June";"July";"August";"September";"October";"November";"December"}, 0)</f>
        <v>7</v>
      </c>
      <c r="M450" s="1" t="str" cm="1">
        <f t="array" ref="M450">IF(patients[[#This Row],[length_of_stay]]&gt;patients!$N$2:$N$2,"Over average","Less than average")</f>
        <v>Over average</v>
      </c>
    </row>
    <row r="451" spans="2:13" x14ac:dyDescent="0.25">
      <c r="B451" s="1" t="s">
        <v>907</v>
      </c>
      <c r="C451" s="1" t="s">
        <v>908</v>
      </c>
      <c r="D451">
        <v>89</v>
      </c>
      <c r="E451" s="2">
        <v>45998</v>
      </c>
      <c r="F451" s="2">
        <v>46003</v>
      </c>
      <c r="G451" s="1" t="s">
        <v>14</v>
      </c>
      <c r="H451">
        <v>68</v>
      </c>
      <c r="I451" s="19">
        <f>patients[[#This Row],[departure_date]]-patients[[#This Row],[arrival_date]]</f>
        <v>5</v>
      </c>
      <c r="J451" t="str">
        <f>IF(patients[[#This Row],[age]] &lt; 18,"0-17",IF(patients[[#This Row],[age]] &lt; 40,"18-39",IF(patients[[#This Row],[age]] &lt; 65,"40-64","65+")))</f>
        <v>65+</v>
      </c>
      <c r="K451" s="1" t="str">
        <f>TEXT(patients[[#This Row],[arrival_date]],"[$-409]mmmm")</f>
        <v>December</v>
      </c>
      <c r="L451" s="1">
        <f>MATCH(K451, {"January";"February";"March";"April";"May";"June";"July";"August";"September";"October";"November";"December"}, 0)</f>
        <v>12</v>
      </c>
      <c r="M451" s="1" t="str" cm="1">
        <f t="array" ref="M451">IF(patients[[#This Row],[length_of_stay]]&gt;patients!$N$2:$N$2,"Over average","Less than average")</f>
        <v>Less than average</v>
      </c>
    </row>
    <row r="452" spans="2:13" x14ac:dyDescent="0.25">
      <c r="B452" s="1" t="s">
        <v>909</v>
      </c>
      <c r="C452" s="1" t="s">
        <v>910</v>
      </c>
      <c r="D452">
        <v>87</v>
      </c>
      <c r="E452" s="2">
        <v>45962</v>
      </c>
      <c r="F452" s="2">
        <v>45971</v>
      </c>
      <c r="G452" s="1" t="s">
        <v>17</v>
      </c>
      <c r="H452">
        <v>76</v>
      </c>
      <c r="I452" s="19">
        <f>patients[[#This Row],[departure_date]]-patients[[#This Row],[arrival_date]]</f>
        <v>9</v>
      </c>
      <c r="J452" t="str">
        <f>IF(patients[[#This Row],[age]] &lt; 18,"0-17",IF(patients[[#This Row],[age]] &lt; 40,"18-39",IF(patients[[#This Row],[age]] &lt; 65,"40-64","65+")))</f>
        <v>65+</v>
      </c>
      <c r="K452" s="1" t="str">
        <f>TEXT(patients[[#This Row],[arrival_date]],"[$-409]mmmm")</f>
        <v>November</v>
      </c>
      <c r="L452" s="1">
        <f>MATCH(K452, {"January";"February";"March";"April";"May";"June";"July";"August";"September";"October";"November";"December"}, 0)</f>
        <v>11</v>
      </c>
      <c r="M452" s="1" t="str" cm="1">
        <f t="array" ref="M452">IF(patients[[#This Row],[length_of_stay]]&gt;patients!$N$2:$N$2,"Over average","Less than average")</f>
        <v>Over average</v>
      </c>
    </row>
    <row r="453" spans="2:13" x14ac:dyDescent="0.25">
      <c r="B453" s="1" t="s">
        <v>911</v>
      </c>
      <c r="C453" s="1" t="s">
        <v>912</v>
      </c>
      <c r="D453">
        <v>87</v>
      </c>
      <c r="E453" s="2">
        <v>45964</v>
      </c>
      <c r="F453" s="2">
        <v>45975</v>
      </c>
      <c r="G453" s="1" t="s">
        <v>17</v>
      </c>
      <c r="H453">
        <v>98</v>
      </c>
      <c r="I453" s="19">
        <f>patients[[#This Row],[departure_date]]-patients[[#This Row],[arrival_date]]</f>
        <v>11</v>
      </c>
      <c r="J453" t="str">
        <f>IF(patients[[#This Row],[age]] &lt; 18,"0-17",IF(patients[[#This Row],[age]] &lt; 40,"18-39",IF(patients[[#This Row],[age]] &lt; 65,"40-64","65+")))</f>
        <v>65+</v>
      </c>
      <c r="K453" s="1" t="str">
        <f>TEXT(patients[[#This Row],[arrival_date]],"[$-409]mmmm")</f>
        <v>November</v>
      </c>
      <c r="L453" s="1">
        <f>MATCH(K453, {"January";"February";"March";"April";"May";"June";"July";"August";"September";"October";"November";"December"}, 0)</f>
        <v>11</v>
      </c>
      <c r="M453" s="1" t="str" cm="1">
        <f t="array" ref="M453">IF(patients[[#This Row],[length_of_stay]]&gt;patients!$N$2:$N$2,"Over average","Less than average")</f>
        <v>Over average</v>
      </c>
    </row>
    <row r="454" spans="2:13" x14ac:dyDescent="0.25">
      <c r="B454" s="1" t="s">
        <v>913</v>
      </c>
      <c r="C454" s="1" t="s">
        <v>914</v>
      </c>
      <c r="D454">
        <v>54</v>
      </c>
      <c r="E454" s="2">
        <v>45696</v>
      </c>
      <c r="F454" s="2">
        <v>45709</v>
      </c>
      <c r="G454" s="1" t="s">
        <v>17</v>
      </c>
      <c r="H454">
        <v>70</v>
      </c>
      <c r="I454" s="19">
        <f>patients[[#This Row],[departure_date]]-patients[[#This Row],[arrival_date]]</f>
        <v>13</v>
      </c>
      <c r="J454" t="str">
        <f>IF(patients[[#This Row],[age]] &lt; 18,"0-17",IF(patients[[#This Row],[age]] &lt; 40,"18-39",IF(patients[[#This Row],[age]] &lt; 65,"40-64","65+")))</f>
        <v>40-64</v>
      </c>
      <c r="K454" s="1" t="str">
        <f>TEXT(patients[[#This Row],[arrival_date]],"[$-409]mmmm")</f>
        <v>February</v>
      </c>
      <c r="L454" s="1">
        <f>MATCH(K454, {"January";"February";"March";"April";"May";"June";"July";"August";"September";"October";"November";"December"}, 0)</f>
        <v>2</v>
      </c>
      <c r="M454" s="1" t="str" cm="1">
        <f t="array" ref="M454">IF(patients[[#This Row],[length_of_stay]]&gt;patients!$N$2:$N$2,"Over average","Less than average")</f>
        <v>Over average</v>
      </c>
    </row>
    <row r="455" spans="2:13" x14ac:dyDescent="0.25">
      <c r="B455" s="1" t="s">
        <v>915</v>
      </c>
      <c r="C455" s="1" t="s">
        <v>916</v>
      </c>
      <c r="D455">
        <v>18</v>
      </c>
      <c r="E455" s="2">
        <v>45990</v>
      </c>
      <c r="F455" s="2">
        <v>46004</v>
      </c>
      <c r="G455" s="1" t="s">
        <v>14</v>
      </c>
      <c r="H455">
        <v>60</v>
      </c>
      <c r="I455" s="19">
        <f>patients[[#This Row],[departure_date]]-patients[[#This Row],[arrival_date]]</f>
        <v>14</v>
      </c>
      <c r="J455" t="str">
        <f>IF(patients[[#This Row],[age]] &lt; 18,"0-17",IF(patients[[#This Row],[age]] &lt; 40,"18-39",IF(patients[[#This Row],[age]] &lt; 65,"40-64","65+")))</f>
        <v>18-39</v>
      </c>
      <c r="K455" s="1" t="str">
        <f>TEXT(patients[[#This Row],[arrival_date]],"[$-409]mmmm")</f>
        <v>November</v>
      </c>
      <c r="L455" s="1">
        <f>MATCH(K455, {"January";"February";"March";"April";"May";"June";"July";"August";"September";"October";"November";"December"}, 0)</f>
        <v>11</v>
      </c>
      <c r="M455" s="1" t="str" cm="1">
        <f t="array" ref="M455">IF(patients[[#This Row],[length_of_stay]]&gt;patients!$N$2:$N$2,"Over average","Less than average")</f>
        <v>Over average</v>
      </c>
    </row>
    <row r="456" spans="2:13" x14ac:dyDescent="0.25">
      <c r="B456" s="1" t="s">
        <v>917</v>
      </c>
      <c r="C456" s="1" t="s">
        <v>918</v>
      </c>
      <c r="D456">
        <v>39</v>
      </c>
      <c r="E456" s="2">
        <v>45676</v>
      </c>
      <c r="F456" s="2">
        <v>45688</v>
      </c>
      <c r="G456" s="1" t="s">
        <v>20</v>
      </c>
      <c r="H456">
        <v>67</v>
      </c>
      <c r="I456" s="19">
        <f>patients[[#This Row],[departure_date]]-patients[[#This Row],[arrival_date]]</f>
        <v>12</v>
      </c>
      <c r="J456" t="str">
        <f>IF(patients[[#This Row],[age]] &lt; 18,"0-17",IF(patients[[#This Row],[age]] &lt; 40,"18-39",IF(patients[[#This Row],[age]] &lt; 65,"40-64","65+")))</f>
        <v>18-39</v>
      </c>
      <c r="K456" s="1" t="str">
        <f>TEXT(patients[[#This Row],[arrival_date]],"[$-409]mmmm")</f>
        <v>January</v>
      </c>
      <c r="L456" s="1">
        <f>MATCH(K456, {"January";"February";"March";"April";"May";"June";"July";"August";"September";"October";"November";"December"}, 0)</f>
        <v>1</v>
      </c>
      <c r="M456" s="1" t="str" cm="1">
        <f t="array" ref="M456">IF(patients[[#This Row],[length_of_stay]]&gt;patients!$N$2:$N$2,"Over average","Less than average")</f>
        <v>Over average</v>
      </c>
    </row>
    <row r="457" spans="2:13" x14ac:dyDescent="0.25">
      <c r="B457" s="1" t="s">
        <v>919</v>
      </c>
      <c r="C457" s="1" t="s">
        <v>920</v>
      </c>
      <c r="D457">
        <v>71</v>
      </c>
      <c r="E457" s="2">
        <v>45766</v>
      </c>
      <c r="F457" s="2">
        <v>45778</v>
      </c>
      <c r="G457" s="1" t="s">
        <v>17</v>
      </c>
      <c r="H457">
        <v>92</v>
      </c>
      <c r="I457" s="19">
        <f>patients[[#This Row],[departure_date]]-patients[[#This Row],[arrival_date]]</f>
        <v>12</v>
      </c>
      <c r="J457" t="str">
        <f>IF(patients[[#This Row],[age]] &lt; 18,"0-17",IF(patients[[#This Row],[age]] &lt; 40,"18-39",IF(patients[[#This Row],[age]] &lt; 65,"40-64","65+")))</f>
        <v>65+</v>
      </c>
      <c r="K457" s="1" t="str">
        <f>TEXT(patients[[#This Row],[arrival_date]],"[$-409]mmmm")</f>
        <v>April</v>
      </c>
      <c r="L457" s="1">
        <f>MATCH(K457, {"January";"February";"March";"April";"May";"June";"July";"August";"September";"October";"November";"December"}, 0)</f>
        <v>4</v>
      </c>
      <c r="M457" s="1" t="str" cm="1">
        <f t="array" ref="M457">IF(patients[[#This Row],[length_of_stay]]&gt;patients!$N$2:$N$2,"Over average","Less than average")</f>
        <v>Over average</v>
      </c>
    </row>
    <row r="458" spans="2:13" x14ac:dyDescent="0.25">
      <c r="B458" s="1" t="s">
        <v>921</v>
      </c>
      <c r="C458" s="1" t="s">
        <v>922</v>
      </c>
      <c r="D458">
        <v>44</v>
      </c>
      <c r="E458" s="2">
        <v>45760</v>
      </c>
      <c r="F458" s="2">
        <v>45772</v>
      </c>
      <c r="G458" s="1" t="s">
        <v>9</v>
      </c>
      <c r="H458">
        <v>64</v>
      </c>
      <c r="I458" s="19">
        <f>patients[[#This Row],[departure_date]]-patients[[#This Row],[arrival_date]]</f>
        <v>12</v>
      </c>
      <c r="J458" t="str">
        <f>IF(patients[[#This Row],[age]] &lt; 18,"0-17",IF(patients[[#This Row],[age]] &lt; 40,"18-39",IF(patients[[#This Row],[age]] &lt; 65,"40-64","65+")))</f>
        <v>40-64</v>
      </c>
      <c r="K458" s="1" t="str">
        <f>TEXT(patients[[#This Row],[arrival_date]],"[$-409]mmmm")</f>
        <v>April</v>
      </c>
      <c r="L458" s="1">
        <f>MATCH(K458, {"January";"February";"March";"April";"May";"June";"July";"August";"September";"October";"November";"December"}, 0)</f>
        <v>4</v>
      </c>
      <c r="M458" s="1" t="str" cm="1">
        <f t="array" ref="M458">IF(patients[[#This Row],[length_of_stay]]&gt;patients!$N$2:$N$2,"Over average","Less than average")</f>
        <v>Over average</v>
      </c>
    </row>
    <row r="459" spans="2:13" x14ac:dyDescent="0.25">
      <c r="B459" s="1" t="s">
        <v>923</v>
      </c>
      <c r="C459" s="1" t="s">
        <v>924</v>
      </c>
      <c r="D459">
        <v>7</v>
      </c>
      <c r="E459" s="2">
        <v>46004</v>
      </c>
      <c r="F459" s="2">
        <v>46018</v>
      </c>
      <c r="G459" s="1" t="s">
        <v>17</v>
      </c>
      <c r="H459">
        <v>82</v>
      </c>
      <c r="I459" s="19">
        <f>patients[[#This Row],[departure_date]]-patients[[#This Row],[arrival_date]]</f>
        <v>14</v>
      </c>
      <c r="J459" t="str">
        <f>IF(patients[[#This Row],[age]] &lt; 18,"0-17",IF(patients[[#This Row],[age]] &lt; 40,"18-39",IF(patients[[#This Row],[age]] &lt; 65,"40-64","65+")))</f>
        <v>0-17</v>
      </c>
      <c r="K459" s="1" t="str">
        <f>TEXT(patients[[#This Row],[arrival_date]],"[$-409]mmmm")</f>
        <v>December</v>
      </c>
      <c r="L459" s="1">
        <f>MATCH(K459, {"January";"February";"March";"April";"May";"June";"July";"August";"September";"October";"November";"December"}, 0)</f>
        <v>12</v>
      </c>
      <c r="M459" s="1" t="str" cm="1">
        <f t="array" ref="M459">IF(patients[[#This Row],[length_of_stay]]&gt;patients!$N$2:$N$2,"Over average","Less than average")</f>
        <v>Over average</v>
      </c>
    </row>
    <row r="460" spans="2:13" x14ac:dyDescent="0.25">
      <c r="B460" s="1" t="s">
        <v>925</v>
      </c>
      <c r="C460" s="1" t="s">
        <v>926</v>
      </c>
      <c r="D460">
        <v>29</v>
      </c>
      <c r="E460" s="2">
        <v>45872</v>
      </c>
      <c r="F460" s="2">
        <v>45873</v>
      </c>
      <c r="G460" s="1" t="s">
        <v>17</v>
      </c>
      <c r="H460">
        <v>79</v>
      </c>
      <c r="I460" s="19">
        <f>patients[[#This Row],[departure_date]]-patients[[#This Row],[arrival_date]]</f>
        <v>1</v>
      </c>
      <c r="J460" t="str">
        <f>IF(patients[[#This Row],[age]] &lt; 18,"0-17",IF(patients[[#This Row],[age]] &lt; 40,"18-39",IF(patients[[#This Row],[age]] &lt; 65,"40-64","65+")))</f>
        <v>18-39</v>
      </c>
      <c r="K460" s="1" t="str">
        <f>TEXT(patients[[#This Row],[arrival_date]],"[$-409]mmmm")</f>
        <v>August</v>
      </c>
      <c r="L460" s="1">
        <f>MATCH(K460, {"January";"February";"March";"April";"May";"June";"July";"August";"September";"October";"November";"December"}, 0)</f>
        <v>8</v>
      </c>
      <c r="M460" s="1" t="str" cm="1">
        <f t="array" ref="M460">IF(patients[[#This Row],[length_of_stay]]&gt;patients!$N$2:$N$2,"Over average","Less than average")</f>
        <v>Less than average</v>
      </c>
    </row>
    <row r="461" spans="2:13" x14ac:dyDescent="0.25">
      <c r="B461" s="1" t="s">
        <v>927</v>
      </c>
      <c r="C461" s="1" t="s">
        <v>928</v>
      </c>
      <c r="D461">
        <v>81</v>
      </c>
      <c r="E461" s="2">
        <v>45981</v>
      </c>
      <c r="F461" s="2">
        <v>45995</v>
      </c>
      <c r="G461" s="1" t="s">
        <v>9</v>
      </c>
      <c r="H461">
        <v>92</v>
      </c>
      <c r="I461" s="19">
        <f>patients[[#This Row],[departure_date]]-patients[[#This Row],[arrival_date]]</f>
        <v>14</v>
      </c>
      <c r="J461" t="str">
        <f>IF(patients[[#This Row],[age]] &lt; 18,"0-17",IF(patients[[#This Row],[age]] &lt; 40,"18-39",IF(patients[[#This Row],[age]] &lt; 65,"40-64","65+")))</f>
        <v>65+</v>
      </c>
      <c r="K461" s="1" t="str">
        <f>TEXT(patients[[#This Row],[arrival_date]],"[$-409]mmmm")</f>
        <v>November</v>
      </c>
      <c r="L461" s="1">
        <f>MATCH(K461, {"January";"February";"March";"April";"May";"June";"July";"August";"September";"October";"November";"December"}, 0)</f>
        <v>11</v>
      </c>
      <c r="M461" s="1" t="str" cm="1">
        <f t="array" ref="M461">IF(patients[[#This Row],[length_of_stay]]&gt;patients!$N$2:$N$2,"Over average","Less than average")</f>
        <v>Over average</v>
      </c>
    </row>
    <row r="462" spans="2:13" x14ac:dyDescent="0.25">
      <c r="B462" s="1" t="s">
        <v>929</v>
      </c>
      <c r="C462" s="1" t="s">
        <v>930</v>
      </c>
      <c r="D462">
        <v>35</v>
      </c>
      <c r="E462" s="2">
        <v>45804</v>
      </c>
      <c r="F462" s="2">
        <v>45816</v>
      </c>
      <c r="G462" s="1" t="s">
        <v>9</v>
      </c>
      <c r="H462">
        <v>99</v>
      </c>
      <c r="I462" s="19">
        <f>patients[[#This Row],[departure_date]]-patients[[#This Row],[arrival_date]]</f>
        <v>12</v>
      </c>
      <c r="J462" t="str">
        <f>IF(patients[[#This Row],[age]] &lt; 18,"0-17",IF(patients[[#This Row],[age]] &lt; 40,"18-39",IF(patients[[#This Row],[age]] &lt; 65,"40-64","65+")))</f>
        <v>18-39</v>
      </c>
      <c r="K462" s="1" t="str">
        <f>TEXT(patients[[#This Row],[arrival_date]],"[$-409]mmmm")</f>
        <v>May</v>
      </c>
      <c r="L462" s="1">
        <f>MATCH(K462, {"January";"February";"March";"April";"May";"June";"July";"August";"September";"October";"November";"December"}, 0)</f>
        <v>5</v>
      </c>
      <c r="M462" s="1" t="str" cm="1">
        <f t="array" ref="M462">IF(patients[[#This Row],[length_of_stay]]&gt;patients!$N$2:$N$2,"Over average","Less than average")</f>
        <v>Over average</v>
      </c>
    </row>
    <row r="463" spans="2:13" x14ac:dyDescent="0.25">
      <c r="B463" s="1" t="s">
        <v>931</v>
      </c>
      <c r="C463" s="1" t="s">
        <v>932</v>
      </c>
      <c r="D463">
        <v>83</v>
      </c>
      <c r="E463" s="2">
        <v>45882</v>
      </c>
      <c r="F463" s="2">
        <v>45894</v>
      </c>
      <c r="G463" s="1" t="s">
        <v>17</v>
      </c>
      <c r="H463">
        <v>74</v>
      </c>
      <c r="I463" s="19">
        <f>patients[[#This Row],[departure_date]]-patients[[#This Row],[arrival_date]]</f>
        <v>12</v>
      </c>
      <c r="J463" t="str">
        <f>IF(patients[[#This Row],[age]] &lt; 18,"0-17",IF(patients[[#This Row],[age]] &lt; 40,"18-39",IF(patients[[#This Row],[age]] &lt; 65,"40-64","65+")))</f>
        <v>65+</v>
      </c>
      <c r="K463" s="1" t="str">
        <f>TEXT(patients[[#This Row],[arrival_date]],"[$-409]mmmm")</f>
        <v>August</v>
      </c>
      <c r="L463" s="1">
        <f>MATCH(K463, {"January";"February";"March";"April";"May";"June";"July";"August";"September";"October";"November";"December"}, 0)</f>
        <v>8</v>
      </c>
      <c r="M463" s="1" t="str" cm="1">
        <f t="array" ref="M463">IF(patients[[#This Row],[length_of_stay]]&gt;patients!$N$2:$N$2,"Over average","Less than average")</f>
        <v>Over average</v>
      </c>
    </row>
    <row r="464" spans="2:13" x14ac:dyDescent="0.25">
      <c r="B464" s="1" t="s">
        <v>933</v>
      </c>
      <c r="C464" s="1" t="s">
        <v>934</v>
      </c>
      <c r="D464">
        <v>40</v>
      </c>
      <c r="E464" s="2">
        <v>45915</v>
      </c>
      <c r="F464" s="2">
        <v>45928</v>
      </c>
      <c r="G464" s="1" t="s">
        <v>14</v>
      </c>
      <c r="H464">
        <v>69</v>
      </c>
      <c r="I464" s="19">
        <f>patients[[#This Row],[departure_date]]-patients[[#This Row],[arrival_date]]</f>
        <v>13</v>
      </c>
      <c r="J464" t="str">
        <f>IF(patients[[#This Row],[age]] &lt; 18,"0-17",IF(patients[[#This Row],[age]] &lt; 40,"18-39",IF(patients[[#This Row],[age]] &lt; 65,"40-64","65+")))</f>
        <v>40-64</v>
      </c>
      <c r="K464" s="1" t="str">
        <f>TEXT(patients[[#This Row],[arrival_date]],"[$-409]mmmm")</f>
        <v>September</v>
      </c>
      <c r="L464" s="1">
        <f>MATCH(K464, {"January";"February";"March";"April";"May";"June";"July";"August";"September";"October";"November";"December"}, 0)</f>
        <v>9</v>
      </c>
      <c r="M464" s="1" t="str" cm="1">
        <f t="array" ref="M464">IF(patients[[#This Row],[length_of_stay]]&gt;patients!$N$2:$N$2,"Over average","Less than average")</f>
        <v>Over average</v>
      </c>
    </row>
    <row r="465" spans="2:13" x14ac:dyDescent="0.25">
      <c r="B465" s="1" t="s">
        <v>935</v>
      </c>
      <c r="C465" s="1" t="s">
        <v>936</v>
      </c>
      <c r="D465">
        <v>65</v>
      </c>
      <c r="E465" s="2">
        <v>45988</v>
      </c>
      <c r="F465" s="2">
        <v>46001</v>
      </c>
      <c r="G465" s="1" t="s">
        <v>14</v>
      </c>
      <c r="H465">
        <v>69</v>
      </c>
      <c r="I465" s="19">
        <f>patients[[#This Row],[departure_date]]-patients[[#This Row],[arrival_date]]</f>
        <v>13</v>
      </c>
      <c r="J465" t="str">
        <f>IF(patients[[#This Row],[age]] &lt; 18,"0-17",IF(patients[[#This Row],[age]] &lt; 40,"18-39",IF(patients[[#This Row],[age]] &lt; 65,"40-64","65+")))</f>
        <v>65+</v>
      </c>
      <c r="K465" s="1" t="str">
        <f>TEXT(patients[[#This Row],[arrival_date]],"[$-409]mmmm")</f>
        <v>November</v>
      </c>
      <c r="L465" s="1">
        <f>MATCH(K465, {"January";"February";"March";"April";"May";"June";"July";"August";"September";"October";"November";"December"}, 0)</f>
        <v>11</v>
      </c>
      <c r="M465" s="1" t="str" cm="1">
        <f t="array" ref="M465">IF(patients[[#This Row],[length_of_stay]]&gt;patients!$N$2:$N$2,"Over average","Less than average")</f>
        <v>Over average</v>
      </c>
    </row>
    <row r="466" spans="2:13" x14ac:dyDescent="0.25">
      <c r="B466" s="1" t="s">
        <v>937</v>
      </c>
      <c r="C466" s="1" t="s">
        <v>938</v>
      </c>
      <c r="D466">
        <v>13</v>
      </c>
      <c r="E466" s="2">
        <v>45708</v>
      </c>
      <c r="F466" s="2">
        <v>45714</v>
      </c>
      <c r="G466" s="1" t="s">
        <v>9</v>
      </c>
      <c r="H466">
        <v>68</v>
      </c>
      <c r="I466" s="19">
        <f>patients[[#This Row],[departure_date]]-patients[[#This Row],[arrival_date]]</f>
        <v>6</v>
      </c>
      <c r="J466" t="str">
        <f>IF(patients[[#This Row],[age]] &lt; 18,"0-17",IF(patients[[#This Row],[age]] &lt; 40,"18-39",IF(patients[[#This Row],[age]] &lt; 65,"40-64","65+")))</f>
        <v>0-17</v>
      </c>
      <c r="K466" s="1" t="str">
        <f>TEXT(patients[[#This Row],[arrival_date]],"[$-409]mmmm")</f>
        <v>February</v>
      </c>
      <c r="L466" s="1">
        <f>MATCH(K466, {"January";"February";"March";"April";"May";"June";"July";"August";"September";"October";"November";"December"}, 0)</f>
        <v>2</v>
      </c>
      <c r="M466" s="1" t="str" cm="1">
        <f t="array" ref="M466">IF(patients[[#This Row],[length_of_stay]]&gt;patients!$N$2:$N$2,"Over average","Less than average")</f>
        <v>Less than average</v>
      </c>
    </row>
    <row r="467" spans="2:13" x14ac:dyDescent="0.25">
      <c r="B467" s="1" t="s">
        <v>939</v>
      </c>
      <c r="C467" s="1" t="s">
        <v>940</v>
      </c>
      <c r="D467">
        <v>38</v>
      </c>
      <c r="E467" s="2">
        <v>45916</v>
      </c>
      <c r="F467" s="2">
        <v>45920</v>
      </c>
      <c r="G467" s="1" t="s">
        <v>20</v>
      </c>
      <c r="H467">
        <v>65</v>
      </c>
      <c r="I467" s="19">
        <f>patients[[#This Row],[departure_date]]-patients[[#This Row],[arrival_date]]</f>
        <v>4</v>
      </c>
      <c r="J467" t="str">
        <f>IF(patients[[#This Row],[age]] &lt; 18,"0-17",IF(patients[[#This Row],[age]] &lt; 40,"18-39",IF(patients[[#This Row],[age]] &lt; 65,"40-64","65+")))</f>
        <v>18-39</v>
      </c>
      <c r="K467" s="1" t="str">
        <f>TEXT(patients[[#This Row],[arrival_date]],"[$-409]mmmm")</f>
        <v>September</v>
      </c>
      <c r="L467" s="1">
        <f>MATCH(K467, {"January";"February";"March";"April";"May";"June";"July";"August";"September";"October";"November";"December"}, 0)</f>
        <v>9</v>
      </c>
      <c r="M467" s="1" t="str" cm="1">
        <f t="array" ref="M467">IF(patients[[#This Row],[length_of_stay]]&gt;patients!$N$2:$N$2,"Over average","Less than average")</f>
        <v>Less than average</v>
      </c>
    </row>
    <row r="468" spans="2:13" x14ac:dyDescent="0.25">
      <c r="B468" s="1" t="s">
        <v>941</v>
      </c>
      <c r="C468" s="1" t="s">
        <v>942</v>
      </c>
      <c r="D468">
        <v>26</v>
      </c>
      <c r="E468" s="2">
        <v>45659</v>
      </c>
      <c r="F468" s="2">
        <v>45672</v>
      </c>
      <c r="G468" s="1" t="s">
        <v>17</v>
      </c>
      <c r="H468">
        <v>97</v>
      </c>
      <c r="I468" s="19">
        <f>patients[[#This Row],[departure_date]]-patients[[#This Row],[arrival_date]]</f>
        <v>13</v>
      </c>
      <c r="J468" t="str">
        <f>IF(patients[[#This Row],[age]] &lt; 18,"0-17",IF(patients[[#This Row],[age]] &lt; 40,"18-39",IF(patients[[#This Row],[age]] &lt; 65,"40-64","65+")))</f>
        <v>18-39</v>
      </c>
      <c r="K468" s="1" t="str">
        <f>TEXT(patients[[#This Row],[arrival_date]],"[$-409]mmmm")</f>
        <v>January</v>
      </c>
      <c r="L468" s="1">
        <f>MATCH(K468, {"January";"February";"March";"April";"May";"June";"July";"August";"September";"October";"November";"December"}, 0)</f>
        <v>1</v>
      </c>
      <c r="M468" s="1" t="str" cm="1">
        <f t="array" ref="M468">IF(patients[[#This Row],[length_of_stay]]&gt;patients!$N$2:$N$2,"Over average","Less than average")</f>
        <v>Over average</v>
      </c>
    </row>
    <row r="469" spans="2:13" x14ac:dyDescent="0.25">
      <c r="B469" s="1" t="s">
        <v>943</v>
      </c>
      <c r="C469" s="1" t="s">
        <v>944</v>
      </c>
      <c r="D469">
        <v>2</v>
      </c>
      <c r="E469" s="2">
        <v>46007</v>
      </c>
      <c r="F469" s="2">
        <v>46015</v>
      </c>
      <c r="G469" s="1" t="s">
        <v>20</v>
      </c>
      <c r="H469">
        <v>61</v>
      </c>
      <c r="I469" s="19">
        <f>patients[[#This Row],[departure_date]]-patients[[#This Row],[arrival_date]]</f>
        <v>8</v>
      </c>
      <c r="J469" t="str">
        <f>IF(patients[[#This Row],[age]] &lt; 18,"0-17",IF(patients[[#This Row],[age]] &lt; 40,"18-39",IF(patients[[#This Row],[age]] &lt; 65,"40-64","65+")))</f>
        <v>0-17</v>
      </c>
      <c r="K469" s="1" t="str">
        <f>TEXT(patients[[#This Row],[arrival_date]],"[$-409]mmmm")</f>
        <v>December</v>
      </c>
      <c r="L469" s="1">
        <f>MATCH(K469, {"January";"February";"March";"April";"May";"June";"July";"August";"September";"October";"November";"December"}, 0)</f>
        <v>12</v>
      </c>
      <c r="M469" s="1" t="str" cm="1">
        <f t="array" ref="M469">IF(patients[[#This Row],[length_of_stay]]&gt;patients!$N$2:$N$2,"Over average","Less than average")</f>
        <v>Over average</v>
      </c>
    </row>
    <row r="470" spans="2:13" x14ac:dyDescent="0.25">
      <c r="B470" s="1" t="s">
        <v>945</v>
      </c>
      <c r="C470" s="1" t="s">
        <v>946</v>
      </c>
      <c r="D470">
        <v>80</v>
      </c>
      <c r="E470" s="2">
        <v>45925</v>
      </c>
      <c r="F470" s="2">
        <v>45928</v>
      </c>
      <c r="G470" s="1" t="s">
        <v>17</v>
      </c>
      <c r="H470">
        <v>60</v>
      </c>
      <c r="I470" s="19">
        <f>patients[[#This Row],[departure_date]]-patients[[#This Row],[arrival_date]]</f>
        <v>3</v>
      </c>
      <c r="J470" t="str">
        <f>IF(patients[[#This Row],[age]] &lt; 18,"0-17",IF(patients[[#This Row],[age]] &lt; 40,"18-39",IF(patients[[#This Row],[age]] &lt; 65,"40-64","65+")))</f>
        <v>65+</v>
      </c>
      <c r="K470" s="1" t="str">
        <f>TEXT(patients[[#This Row],[arrival_date]],"[$-409]mmmm")</f>
        <v>September</v>
      </c>
      <c r="L470" s="1">
        <f>MATCH(K470, {"January";"February";"March";"April";"May";"June";"July";"August";"September";"October";"November";"December"}, 0)</f>
        <v>9</v>
      </c>
      <c r="M470" s="1" t="str" cm="1">
        <f t="array" ref="M470">IF(patients[[#This Row],[length_of_stay]]&gt;patients!$N$2:$N$2,"Over average","Less than average")</f>
        <v>Less than average</v>
      </c>
    </row>
    <row r="471" spans="2:13" x14ac:dyDescent="0.25">
      <c r="B471" s="1" t="s">
        <v>947</v>
      </c>
      <c r="C471" s="1" t="s">
        <v>948</v>
      </c>
      <c r="D471">
        <v>54</v>
      </c>
      <c r="E471" s="2">
        <v>46014</v>
      </c>
      <c r="F471" s="2">
        <v>46019</v>
      </c>
      <c r="G471" s="1" t="s">
        <v>17</v>
      </c>
      <c r="H471">
        <v>90</v>
      </c>
      <c r="I471" s="19">
        <f>patients[[#This Row],[departure_date]]-patients[[#This Row],[arrival_date]]</f>
        <v>5</v>
      </c>
      <c r="J471" t="str">
        <f>IF(patients[[#This Row],[age]] &lt; 18,"0-17",IF(patients[[#This Row],[age]] &lt; 40,"18-39",IF(patients[[#This Row],[age]] &lt; 65,"40-64","65+")))</f>
        <v>40-64</v>
      </c>
      <c r="K471" s="1" t="str">
        <f>TEXT(patients[[#This Row],[arrival_date]],"[$-409]mmmm")</f>
        <v>December</v>
      </c>
      <c r="L471" s="1">
        <f>MATCH(K471, {"January";"February";"March";"April";"May";"June";"July";"August";"September";"October";"November";"December"}, 0)</f>
        <v>12</v>
      </c>
      <c r="M471" s="1" t="str" cm="1">
        <f t="array" ref="M471">IF(patients[[#This Row],[length_of_stay]]&gt;patients!$N$2:$N$2,"Over average","Less than average")</f>
        <v>Less than average</v>
      </c>
    </row>
    <row r="472" spans="2:13" x14ac:dyDescent="0.25">
      <c r="B472" s="1" t="s">
        <v>949</v>
      </c>
      <c r="C472" s="1" t="s">
        <v>950</v>
      </c>
      <c r="D472">
        <v>24</v>
      </c>
      <c r="E472" s="2">
        <v>45951</v>
      </c>
      <c r="F472" s="2">
        <v>45963</v>
      </c>
      <c r="G472" s="1" t="s">
        <v>14</v>
      </c>
      <c r="H472">
        <v>80</v>
      </c>
      <c r="I472" s="19">
        <f>patients[[#This Row],[departure_date]]-patients[[#This Row],[arrival_date]]</f>
        <v>12</v>
      </c>
      <c r="J472" t="str">
        <f>IF(patients[[#This Row],[age]] &lt; 18,"0-17",IF(patients[[#This Row],[age]] &lt; 40,"18-39",IF(patients[[#This Row],[age]] &lt; 65,"40-64","65+")))</f>
        <v>18-39</v>
      </c>
      <c r="K472" s="1" t="str">
        <f>TEXT(patients[[#This Row],[arrival_date]],"[$-409]mmmm")</f>
        <v>October</v>
      </c>
      <c r="L472" s="1">
        <f>MATCH(K472, {"January";"February";"March";"April";"May";"June";"July";"August";"September";"October";"November";"December"}, 0)</f>
        <v>10</v>
      </c>
      <c r="M472" s="1" t="str" cm="1">
        <f t="array" ref="M472">IF(patients[[#This Row],[length_of_stay]]&gt;patients!$N$2:$N$2,"Over average","Less than average")</f>
        <v>Over average</v>
      </c>
    </row>
    <row r="473" spans="2:13" x14ac:dyDescent="0.25">
      <c r="B473" s="1" t="s">
        <v>951</v>
      </c>
      <c r="C473" s="1" t="s">
        <v>952</v>
      </c>
      <c r="D473">
        <v>53</v>
      </c>
      <c r="E473" s="2">
        <v>45803</v>
      </c>
      <c r="F473" s="2">
        <v>45807</v>
      </c>
      <c r="G473" s="1" t="s">
        <v>14</v>
      </c>
      <c r="H473">
        <v>94</v>
      </c>
      <c r="I473" s="19">
        <f>patients[[#This Row],[departure_date]]-patients[[#This Row],[arrival_date]]</f>
        <v>4</v>
      </c>
      <c r="J473" t="str">
        <f>IF(patients[[#This Row],[age]] &lt; 18,"0-17",IF(patients[[#This Row],[age]] &lt; 40,"18-39",IF(patients[[#This Row],[age]] &lt; 65,"40-64","65+")))</f>
        <v>40-64</v>
      </c>
      <c r="K473" s="1" t="str">
        <f>TEXT(patients[[#This Row],[arrival_date]],"[$-409]mmmm")</f>
        <v>May</v>
      </c>
      <c r="L473" s="1">
        <f>MATCH(K473, {"January";"February";"March";"April";"May";"June";"July";"August";"September";"October";"November";"December"}, 0)</f>
        <v>5</v>
      </c>
      <c r="M473" s="1" t="str" cm="1">
        <f t="array" ref="M473">IF(patients[[#This Row],[length_of_stay]]&gt;patients!$N$2:$N$2,"Over average","Less than average")</f>
        <v>Less than average</v>
      </c>
    </row>
    <row r="474" spans="2:13" x14ac:dyDescent="0.25">
      <c r="B474" s="1" t="s">
        <v>953</v>
      </c>
      <c r="C474" s="1" t="s">
        <v>954</v>
      </c>
      <c r="D474">
        <v>44</v>
      </c>
      <c r="E474" s="2">
        <v>45730</v>
      </c>
      <c r="F474" s="2">
        <v>45735</v>
      </c>
      <c r="G474" s="1" t="s">
        <v>14</v>
      </c>
      <c r="H474">
        <v>97</v>
      </c>
      <c r="I474" s="19">
        <f>patients[[#This Row],[departure_date]]-patients[[#This Row],[arrival_date]]</f>
        <v>5</v>
      </c>
      <c r="J474" t="str">
        <f>IF(patients[[#This Row],[age]] &lt; 18,"0-17",IF(patients[[#This Row],[age]] &lt; 40,"18-39",IF(patients[[#This Row],[age]] &lt; 65,"40-64","65+")))</f>
        <v>40-64</v>
      </c>
      <c r="K474" s="1" t="str">
        <f>TEXT(patients[[#This Row],[arrival_date]],"[$-409]mmmm")</f>
        <v>March</v>
      </c>
      <c r="L474" s="1">
        <f>MATCH(K474, {"January";"February";"March";"April";"May";"June";"July";"August";"September";"October";"November";"December"}, 0)</f>
        <v>3</v>
      </c>
      <c r="M474" s="1" t="str" cm="1">
        <f t="array" ref="M474">IF(patients[[#This Row],[length_of_stay]]&gt;patients!$N$2:$N$2,"Over average","Less than average")</f>
        <v>Less than average</v>
      </c>
    </row>
    <row r="475" spans="2:13" x14ac:dyDescent="0.25">
      <c r="B475" s="1" t="s">
        <v>955</v>
      </c>
      <c r="C475" s="1" t="s">
        <v>956</v>
      </c>
      <c r="D475">
        <v>29</v>
      </c>
      <c r="E475" s="2">
        <v>46021</v>
      </c>
      <c r="F475" s="2">
        <v>46023</v>
      </c>
      <c r="G475" s="1" t="s">
        <v>20</v>
      </c>
      <c r="H475">
        <v>91</v>
      </c>
      <c r="I475" s="19">
        <f>patients[[#This Row],[departure_date]]-patients[[#This Row],[arrival_date]]</f>
        <v>2</v>
      </c>
      <c r="J475" t="str">
        <f>IF(patients[[#This Row],[age]] &lt; 18,"0-17",IF(patients[[#This Row],[age]] &lt; 40,"18-39",IF(patients[[#This Row],[age]] &lt; 65,"40-64","65+")))</f>
        <v>18-39</v>
      </c>
      <c r="K475" s="1" t="str">
        <f>TEXT(patients[[#This Row],[arrival_date]],"[$-409]mmmm")</f>
        <v>December</v>
      </c>
      <c r="L475" s="1">
        <f>MATCH(K475, {"January";"February";"March";"April";"May";"June";"July";"August";"September";"October";"November";"December"}, 0)</f>
        <v>12</v>
      </c>
      <c r="M475" s="1" t="str" cm="1">
        <f t="array" ref="M475">IF(patients[[#This Row],[length_of_stay]]&gt;patients!$N$2:$N$2,"Over average","Less than average")</f>
        <v>Less than average</v>
      </c>
    </row>
    <row r="476" spans="2:13" x14ac:dyDescent="0.25">
      <c r="B476" s="1" t="s">
        <v>957</v>
      </c>
      <c r="C476" s="1" t="s">
        <v>958</v>
      </c>
      <c r="D476">
        <v>66</v>
      </c>
      <c r="E476" s="2">
        <v>45813</v>
      </c>
      <c r="F476" s="2">
        <v>45825</v>
      </c>
      <c r="G476" s="1" t="s">
        <v>14</v>
      </c>
      <c r="H476">
        <v>74</v>
      </c>
      <c r="I476" s="19">
        <f>patients[[#This Row],[departure_date]]-patients[[#This Row],[arrival_date]]</f>
        <v>12</v>
      </c>
      <c r="J476" t="str">
        <f>IF(patients[[#This Row],[age]] &lt; 18,"0-17",IF(patients[[#This Row],[age]] &lt; 40,"18-39",IF(patients[[#This Row],[age]] &lt; 65,"40-64","65+")))</f>
        <v>65+</v>
      </c>
      <c r="K476" s="1" t="str">
        <f>TEXT(patients[[#This Row],[arrival_date]],"[$-409]mmmm")</f>
        <v>June</v>
      </c>
      <c r="L476" s="1">
        <f>MATCH(K476, {"January";"February";"March";"April";"May";"June";"July";"August";"September";"October";"November";"December"}, 0)</f>
        <v>6</v>
      </c>
      <c r="M476" s="1" t="str" cm="1">
        <f t="array" ref="M476">IF(patients[[#This Row],[length_of_stay]]&gt;patients!$N$2:$N$2,"Over average","Less than average")</f>
        <v>Over average</v>
      </c>
    </row>
    <row r="477" spans="2:13" x14ac:dyDescent="0.25">
      <c r="B477" s="1" t="s">
        <v>959</v>
      </c>
      <c r="C477" s="1" t="s">
        <v>960</v>
      </c>
      <c r="D477">
        <v>40</v>
      </c>
      <c r="E477" s="2">
        <v>45680</v>
      </c>
      <c r="F477" s="2">
        <v>45688</v>
      </c>
      <c r="G477" s="1" t="s">
        <v>14</v>
      </c>
      <c r="H477">
        <v>70</v>
      </c>
      <c r="I477" s="19">
        <f>patients[[#This Row],[departure_date]]-patients[[#This Row],[arrival_date]]</f>
        <v>8</v>
      </c>
      <c r="J477" t="str">
        <f>IF(patients[[#This Row],[age]] &lt; 18,"0-17",IF(patients[[#This Row],[age]] &lt; 40,"18-39",IF(patients[[#This Row],[age]] &lt; 65,"40-64","65+")))</f>
        <v>40-64</v>
      </c>
      <c r="K477" s="1" t="str">
        <f>TEXT(patients[[#This Row],[arrival_date]],"[$-409]mmmm")</f>
        <v>January</v>
      </c>
      <c r="L477" s="1">
        <f>MATCH(K477, {"January";"February";"March";"April";"May";"June";"July";"August";"September";"October";"November";"December"}, 0)</f>
        <v>1</v>
      </c>
      <c r="M477" s="1" t="str" cm="1">
        <f t="array" ref="M477">IF(patients[[#This Row],[length_of_stay]]&gt;patients!$N$2:$N$2,"Over average","Less than average")</f>
        <v>Over average</v>
      </c>
    </row>
    <row r="478" spans="2:13" x14ac:dyDescent="0.25">
      <c r="B478" s="1" t="s">
        <v>961</v>
      </c>
      <c r="C478" s="1" t="s">
        <v>962</v>
      </c>
      <c r="D478">
        <v>47</v>
      </c>
      <c r="E478" s="2">
        <v>45970</v>
      </c>
      <c r="F478" s="2">
        <v>45976</v>
      </c>
      <c r="G478" s="1" t="s">
        <v>20</v>
      </c>
      <c r="H478">
        <v>95</v>
      </c>
      <c r="I478" s="19">
        <f>patients[[#This Row],[departure_date]]-patients[[#This Row],[arrival_date]]</f>
        <v>6</v>
      </c>
      <c r="J478" t="str">
        <f>IF(patients[[#This Row],[age]] &lt; 18,"0-17",IF(patients[[#This Row],[age]] &lt; 40,"18-39",IF(patients[[#This Row],[age]] &lt; 65,"40-64","65+")))</f>
        <v>40-64</v>
      </c>
      <c r="K478" s="1" t="str">
        <f>TEXT(patients[[#This Row],[arrival_date]],"[$-409]mmmm")</f>
        <v>November</v>
      </c>
      <c r="L478" s="1">
        <f>MATCH(K478, {"January";"February";"March";"April";"May";"June";"July";"August";"September";"October";"November";"December"}, 0)</f>
        <v>11</v>
      </c>
      <c r="M478" s="1" t="str" cm="1">
        <f t="array" ref="M478">IF(patients[[#This Row],[length_of_stay]]&gt;patients!$N$2:$N$2,"Over average","Less than average")</f>
        <v>Less than average</v>
      </c>
    </row>
    <row r="479" spans="2:13" x14ac:dyDescent="0.25">
      <c r="B479" s="1" t="s">
        <v>963</v>
      </c>
      <c r="C479" s="1" t="s">
        <v>964</v>
      </c>
      <c r="D479">
        <v>32</v>
      </c>
      <c r="E479" s="2">
        <v>45824</v>
      </c>
      <c r="F479" s="2">
        <v>45826</v>
      </c>
      <c r="G479" s="1" t="s">
        <v>20</v>
      </c>
      <c r="H479">
        <v>87</v>
      </c>
      <c r="I479" s="19">
        <f>patients[[#This Row],[departure_date]]-patients[[#This Row],[arrival_date]]</f>
        <v>2</v>
      </c>
      <c r="J479" t="str">
        <f>IF(patients[[#This Row],[age]] &lt; 18,"0-17",IF(patients[[#This Row],[age]] &lt; 40,"18-39",IF(patients[[#This Row],[age]] &lt; 65,"40-64","65+")))</f>
        <v>18-39</v>
      </c>
      <c r="K479" s="1" t="str">
        <f>TEXT(patients[[#This Row],[arrival_date]],"[$-409]mmmm")</f>
        <v>June</v>
      </c>
      <c r="L479" s="1">
        <f>MATCH(K479, {"January";"February";"March";"April";"May";"June";"July";"August";"September";"October";"November";"December"}, 0)</f>
        <v>6</v>
      </c>
      <c r="M479" s="1" t="str" cm="1">
        <f t="array" ref="M479">IF(patients[[#This Row],[length_of_stay]]&gt;patients!$N$2:$N$2,"Over average","Less than average")</f>
        <v>Less than average</v>
      </c>
    </row>
    <row r="480" spans="2:13" x14ac:dyDescent="0.25">
      <c r="B480" s="1" t="s">
        <v>965</v>
      </c>
      <c r="C480" s="1" t="s">
        <v>966</v>
      </c>
      <c r="D480">
        <v>36</v>
      </c>
      <c r="E480" s="2">
        <v>45853</v>
      </c>
      <c r="F480" s="2">
        <v>45858</v>
      </c>
      <c r="G480" s="1" t="s">
        <v>14</v>
      </c>
      <c r="H480">
        <v>60</v>
      </c>
      <c r="I480" s="19">
        <f>patients[[#This Row],[departure_date]]-patients[[#This Row],[arrival_date]]</f>
        <v>5</v>
      </c>
      <c r="J480" t="str">
        <f>IF(patients[[#This Row],[age]] &lt; 18,"0-17",IF(patients[[#This Row],[age]] &lt; 40,"18-39",IF(patients[[#This Row],[age]] &lt; 65,"40-64","65+")))</f>
        <v>18-39</v>
      </c>
      <c r="K480" s="1" t="str">
        <f>TEXT(patients[[#This Row],[arrival_date]],"[$-409]mmmm")</f>
        <v>July</v>
      </c>
      <c r="L480" s="1">
        <f>MATCH(K480, {"January";"February";"March";"April";"May";"June";"July";"August";"September";"October";"November";"December"}, 0)</f>
        <v>7</v>
      </c>
      <c r="M480" s="1" t="str" cm="1">
        <f t="array" ref="M480">IF(patients[[#This Row],[length_of_stay]]&gt;patients!$N$2:$N$2,"Over average","Less than average")</f>
        <v>Less than average</v>
      </c>
    </row>
    <row r="481" spans="2:13" x14ac:dyDescent="0.25">
      <c r="B481" s="1" t="s">
        <v>967</v>
      </c>
      <c r="C481" s="1" t="s">
        <v>968</v>
      </c>
      <c r="D481">
        <v>64</v>
      </c>
      <c r="E481" s="2">
        <v>45805</v>
      </c>
      <c r="F481" s="2">
        <v>45808</v>
      </c>
      <c r="G481" s="1" t="s">
        <v>14</v>
      </c>
      <c r="H481">
        <v>88</v>
      </c>
      <c r="I481" s="19">
        <f>patients[[#This Row],[departure_date]]-patients[[#This Row],[arrival_date]]</f>
        <v>3</v>
      </c>
      <c r="J481" t="str">
        <f>IF(patients[[#This Row],[age]] &lt; 18,"0-17",IF(patients[[#This Row],[age]] &lt; 40,"18-39",IF(patients[[#This Row],[age]] &lt; 65,"40-64","65+")))</f>
        <v>40-64</v>
      </c>
      <c r="K481" s="1" t="str">
        <f>TEXT(patients[[#This Row],[arrival_date]],"[$-409]mmmm")</f>
        <v>May</v>
      </c>
      <c r="L481" s="1">
        <f>MATCH(K481, {"January";"February";"March";"April";"May";"June";"July";"August";"September";"October";"November";"December"}, 0)</f>
        <v>5</v>
      </c>
      <c r="M481" s="1" t="str" cm="1">
        <f t="array" ref="M481">IF(patients[[#This Row],[length_of_stay]]&gt;patients!$N$2:$N$2,"Over average","Less than average")</f>
        <v>Less than average</v>
      </c>
    </row>
    <row r="482" spans="2:13" x14ac:dyDescent="0.25">
      <c r="B482" s="1" t="s">
        <v>969</v>
      </c>
      <c r="C482" s="1" t="s">
        <v>970</v>
      </c>
      <c r="D482">
        <v>73</v>
      </c>
      <c r="E482" s="2">
        <v>45783</v>
      </c>
      <c r="F482" s="2">
        <v>45794</v>
      </c>
      <c r="G482" s="1" t="s">
        <v>20</v>
      </c>
      <c r="H482">
        <v>97</v>
      </c>
      <c r="I482" s="19">
        <f>patients[[#This Row],[departure_date]]-patients[[#This Row],[arrival_date]]</f>
        <v>11</v>
      </c>
      <c r="J482" t="str">
        <f>IF(patients[[#This Row],[age]] &lt; 18,"0-17",IF(patients[[#This Row],[age]] &lt; 40,"18-39",IF(patients[[#This Row],[age]] &lt; 65,"40-64","65+")))</f>
        <v>65+</v>
      </c>
      <c r="K482" s="1" t="str">
        <f>TEXT(patients[[#This Row],[arrival_date]],"[$-409]mmmm")</f>
        <v>May</v>
      </c>
      <c r="L482" s="1">
        <f>MATCH(K482, {"January";"February";"March";"April";"May";"June";"July";"August";"September";"October";"November";"December"}, 0)</f>
        <v>5</v>
      </c>
      <c r="M482" s="1" t="str" cm="1">
        <f t="array" ref="M482">IF(patients[[#This Row],[length_of_stay]]&gt;patients!$N$2:$N$2,"Over average","Less than average")</f>
        <v>Over average</v>
      </c>
    </row>
    <row r="483" spans="2:13" x14ac:dyDescent="0.25">
      <c r="B483" s="1" t="s">
        <v>971</v>
      </c>
      <c r="C483" s="1" t="s">
        <v>972</v>
      </c>
      <c r="D483">
        <v>63</v>
      </c>
      <c r="E483" s="2">
        <v>45833</v>
      </c>
      <c r="F483" s="2">
        <v>45837</v>
      </c>
      <c r="G483" s="1" t="s">
        <v>17</v>
      </c>
      <c r="H483">
        <v>71</v>
      </c>
      <c r="I483" s="19">
        <f>patients[[#This Row],[departure_date]]-patients[[#This Row],[arrival_date]]</f>
        <v>4</v>
      </c>
      <c r="J483" t="str">
        <f>IF(patients[[#This Row],[age]] &lt; 18,"0-17",IF(patients[[#This Row],[age]] &lt; 40,"18-39",IF(patients[[#This Row],[age]] &lt; 65,"40-64","65+")))</f>
        <v>40-64</v>
      </c>
      <c r="K483" s="1" t="str">
        <f>TEXT(patients[[#This Row],[arrival_date]],"[$-409]mmmm")</f>
        <v>June</v>
      </c>
      <c r="L483" s="1">
        <f>MATCH(K483, {"January";"February";"March";"April";"May";"June";"July";"August";"September";"October";"November";"December"}, 0)</f>
        <v>6</v>
      </c>
      <c r="M483" s="1" t="str" cm="1">
        <f t="array" ref="M483">IF(patients[[#This Row],[length_of_stay]]&gt;patients!$N$2:$N$2,"Over average","Less than average")</f>
        <v>Less than average</v>
      </c>
    </row>
    <row r="484" spans="2:13" x14ac:dyDescent="0.25">
      <c r="B484" s="1" t="s">
        <v>973</v>
      </c>
      <c r="C484" s="1" t="s">
        <v>974</v>
      </c>
      <c r="D484">
        <v>64</v>
      </c>
      <c r="E484" s="2">
        <v>45770</v>
      </c>
      <c r="F484" s="2">
        <v>45783</v>
      </c>
      <c r="G484" s="1" t="s">
        <v>14</v>
      </c>
      <c r="H484">
        <v>64</v>
      </c>
      <c r="I484" s="19">
        <f>patients[[#This Row],[departure_date]]-patients[[#This Row],[arrival_date]]</f>
        <v>13</v>
      </c>
      <c r="J484" t="str">
        <f>IF(patients[[#This Row],[age]] &lt; 18,"0-17",IF(patients[[#This Row],[age]] &lt; 40,"18-39",IF(patients[[#This Row],[age]] &lt; 65,"40-64","65+")))</f>
        <v>40-64</v>
      </c>
      <c r="K484" s="1" t="str">
        <f>TEXT(patients[[#This Row],[arrival_date]],"[$-409]mmmm")</f>
        <v>April</v>
      </c>
      <c r="L484" s="1">
        <f>MATCH(K484, {"January";"February";"March";"April";"May";"June";"July";"August";"September";"October";"November";"December"}, 0)</f>
        <v>4</v>
      </c>
      <c r="M484" s="1" t="str" cm="1">
        <f t="array" ref="M484">IF(patients[[#This Row],[length_of_stay]]&gt;patients!$N$2:$N$2,"Over average","Less than average")</f>
        <v>Over average</v>
      </c>
    </row>
    <row r="485" spans="2:13" x14ac:dyDescent="0.25">
      <c r="B485" s="1" t="s">
        <v>975</v>
      </c>
      <c r="C485" s="1" t="s">
        <v>976</v>
      </c>
      <c r="D485">
        <v>29</v>
      </c>
      <c r="E485" s="2">
        <v>46001</v>
      </c>
      <c r="F485" s="2">
        <v>46012</v>
      </c>
      <c r="G485" s="1" t="s">
        <v>20</v>
      </c>
      <c r="H485">
        <v>62</v>
      </c>
      <c r="I485" s="19">
        <f>patients[[#This Row],[departure_date]]-patients[[#This Row],[arrival_date]]</f>
        <v>11</v>
      </c>
      <c r="J485" t="str">
        <f>IF(patients[[#This Row],[age]] &lt; 18,"0-17",IF(patients[[#This Row],[age]] &lt; 40,"18-39",IF(patients[[#This Row],[age]] &lt; 65,"40-64","65+")))</f>
        <v>18-39</v>
      </c>
      <c r="K485" s="1" t="str">
        <f>TEXT(patients[[#This Row],[arrival_date]],"[$-409]mmmm")</f>
        <v>December</v>
      </c>
      <c r="L485" s="1">
        <f>MATCH(K485, {"January";"February";"March";"April";"May";"June";"July";"August";"September";"October";"November";"December"}, 0)</f>
        <v>12</v>
      </c>
      <c r="M485" s="1" t="str" cm="1">
        <f t="array" ref="M485">IF(patients[[#This Row],[length_of_stay]]&gt;patients!$N$2:$N$2,"Over average","Less than average")</f>
        <v>Over average</v>
      </c>
    </row>
    <row r="486" spans="2:13" x14ac:dyDescent="0.25">
      <c r="B486" s="1" t="s">
        <v>977</v>
      </c>
      <c r="C486" s="1" t="s">
        <v>978</v>
      </c>
      <c r="D486">
        <v>74</v>
      </c>
      <c r="E486" s="2">
        <v>45917</v>
      </c>
      <c r="F486" s="2">
        <v>45927</v>
      </c>
      <c r="G486" s="1" t="s">
        <v>17</v>
      </c>
      <c r="H486">
        <v>86</v>
      </c>
      <c r="I486" s="19">
        <f>patients[[#This Row],[departure_date]]-patients[[#This Row],[arrival_date]]</f>
        <v>10</v>
      </c>
      <c r="J486" t="str">
        <f>IF(patients[[#This Row],[age]] &lt; 18,"0-17",IF(patients[[#This Row],[age]] &lt; 40,"18-39",IF(patients[[#This Row],[age]] &lt; 65,"40-64","65+")))</f>
        <v>65+</v>
      </c>
      <c r="K486" s="1" t="str">
        <f>TEXT(patients[[#This Row],[arrival_date]],"[$-409]mmmm")</f>
        <v>September</v>
      </c>
      <c r="L486" s="1">
        <f>MATCH(K486, {"January";"February";"March";"April";"May";"June";"July";"August";"September";"October";"November";"December"}, 0)</f>
        <v>9</v>
      </c>
      <c r="M486" s="1" t="str" cm="1">
        <f t="array" ref="M486">IF(patients[[#This Row],[length_of_stay]]&gt;patients!$N$2:$N$2,"Over average","Less than average")</f>
        <v>Over average</v>
      </c>
    </row>
    <row r="487" spans="2:13" x14ac:dyDescent="0.25">
      <c r="B487" s="1" t="s">
        <v>979</v>
      </c>
      <c r="C487" s="1" t="s">
        <v>980</v>
      </c>
      <c r="D487">
        <v>45</v>
      </c>
      <c r="E487" s="2">
        <v>46020</v>
      </c>
      <c r="F487" s="2">
        <v>46031</v>
      </c>
      <c r="G487" s="1" t="s">
        <v>9</v>
      </c>
      <c r="H487">
        <v>65</v>
      </c>
      <c r="I487" s="19">
        <f>patients[[#This Row],[departure_date]]-patients[[#This Row],[arrival_date]]</f>
        <v>11</v>
      </c>
      <c r="J487" t="str">
        <f>IF(patients[[#This Row],[age]] &lt; 18,"0-17",IF(patients[[#This Row],[age]] &lt; 40,"18-39",IF(patients[[#This Row],[age]] &lt; 65,"40-64","65+")))</f>
        <v>40-64</v>
      </c>
      <c r="K487" s="1" t="str">
        <f>TEXT(patients[[#This Row],[arrival_date]],"[$-409]mmmm")</f>
        <v>December</v>
      </c>
      <c r="L487" s="1">
        <f>MATCH(K487, {"January";"February";"March";"April";"May";"June";"July";"August";"September";"October";"November";"December"}, 0)</f>
        <v>12</v>
      </c>
      <c r="M487" s="1" t="str" cm="1">
        <f t="array" ref="M487">IF(patients[[#This Row],[length_of_stay]]&gt;patients!$N$2:$N$2,"Over average","Less than average")</f>
        <v>Over average</v>
      </c>
    </row>
    <row r="488" spans="2:13" x14ac:dyDescent="0.25">
      <c r="B488" s="1" t="s">
        <v>981</v>
      </c>
      <c r="C488" s="1" t="s">
        <v>982</v>
      </c>
      <c r="D488">
        <v>58</v>
      </c>
      <c r="E488" s="2">
        <v>45902</v>
      </c>
      <c r="F488" s="2">
        <v>45916</v>
      </c>
      <c r="G488" s="1" t="s">
        <v>17</v>
      </c>
      <c r="H488">
        <v>96</v>
      </c>
      <c r="I488" s="19">
        <f>patients[[#This Row],[departure_date]]-patients[[#This Row],[arrival_date]]</f>
        <v>14</v>
      </c>
      <c r="J488" t="str">
        <f>IF(patients[[#This Row],[age]] &lt; 18,"0-17",IF(patients[[#This Row],[age]] &lt; 40,"18-39",IF(patients[[#This Row],[age]] &lt; 65,"40-64","65+")))</f>
        <v>40-64</v>
      </c>
      <c r="K488" s="1" t="str">
        <f>TEXT(patients[[#This Row],[arrival_date]],"[$-409]mmmm")</f>
        <v>September</v>
      </c>
      <c r="L488" s="1">
        <f>MATCH(K488, {"January";"February";"March";"April";"May";"June";"July";"August";"September";"October";"November";"December"}, 0)</f>
        <v>9</v>
      </c>
      <c r="M488" s="1" t="str" cm="1">
        <f t="array" ref="M488">IF(patients[[#This Row],[length_of_stay]]&gt;patients!$N$2:$N$2,"Over average","Less than average")</f>
        <v>Over average</v>
      </c>
    </row>
    <row r="489" spans="2:13" x14ac:dyDescent="0.25">
      <c r="B489" s="1" t="s">
        <v>983</v>
      </c>
      <c r="C489" s="1" t="s">
        <v>984</v>
      </c>
      <c r="D489">
        <v>36</v>
      </c>
      <c r="E489" s="2">
        <v>45781</v>
      </c>
      <c r="F489" s="2">
        <v>45786</v>
      </c>
      <c r="G489" s="1" t="s">
        <v>9</v>
      </c>
      <c r="H489">
        <v>94</v>
      </c>
      <c r="I489" s="19">
        <f>patients[[#This Row],[departure_date]]-patients[[#This Row],[arrival_date]]</f>
        <v>5</v>
      </c>
      <c r="J489" t="str">
        <f>IF(patients[[#This Row],[age]] &lt; 18,"0-17",IF(patients[[#This Row],[age]] &lt; 40,"18-39",IF(patients[[#This Row],[age]] &lt; 65,"40-64","65+")))</f>
        <v>18-39</v>
      </c>
      <c r="K489" s="1" t="str">
        <f>TEXT(patients[[#This Row],[arrival_date]],"[$-409]mmmm")</f>
        <v>May</v>
      </c>
      <c r="L489" s="1">
        <f>MATCH(K489, {"January";"February";"March";"April";"May";"June";"July";"August";"September";"October";"November";"December"}, 0)</f>
        <v>5</v>
      </c>
      <c r="M489" s="1" t="str" cm="1">
        <f t="array" ref="M489">IF(patients[[#This Row],[length_of_stay]]&gt;patients!$N$2:$N$2,"Over average","Less than average")</f>
        <v>Less than average</v>
      </c>
    </row>
    <row r="490" spans="2:13" x14ac:dyDescent="0.25">
      <c r="B490" s="1" t="s">
        <v>985</v>
      </c>
      <c r="C490" s="1" t="s">
        <v>986</v>
      </c>
      <c r="D490">
        <v>86</v>
      </c>
      <c r="E490" s="2">
        <v>45853</v>
      </c>
      <c r="F490" s="2">
        <v>45855</v>
      </c>
      <c r="G490" s="1" t="s">
        <v>9</v>
      </c>
      <c r="H490">
        <v>68</v>
      </c>
      <c r="I490" s="19">
        <f>patients[[#This Row],[departure_date]]-patients[[#This Row],[arrival_date]]</f>
        <v>2</v>
      </c>
      <c r="J490" t="str">
        <f>IF(patients[[#This Row],[age]] &lt; 18,"0-17",IF(patients[[#This Row],[age]] &lt; 40,"18-39",IF(patients[[#This Row],[age]] &lt; 65,"40-64","65+")))</f>
        <v>65+</v>
      </c>
      <c r="K490" s="1" t="str">
        <f>TEXT(patients[[#This Row],[arrival_date]],"[$-409]mmmm")</f>
        <v>July</v>
      </c>
      <c r="L490" s="1">
        <f>MATCH(K490, {"January";"February";"March";"April";"May";"June";"July";"August";"September";"October";"November";"December"}, 0)</f>
        <v>7</v>
      </c>
      <c r="M490" s="1" t="str" cm="1">
        <f t="array" ref="M490">IF(patients[[#This Row],[length_of_stay]]&gt;patients!$N$2:$N$2,"Over average","Less than average")</f>
        <v>Less than average</v>
      </c>
    </row>
    <row r="491" spans="2:13" x14ac:dyDescent="0.25">
      <c r="B491" s="1" t="s">
        <v>987</v>
      </c>
      <c r="C491" s="1" t="s">
        <v>988</v>
      </c>
      <c r="D491">
        <v>28</v>
      </c>
      <c r="E491" s="2">
        <v>45716</v>
      </c>
      <c r="F491" s="2">
        <v>45730</v>
      </c>
      <c r="G491" s="1" t="s">
        <v>17</v>
      </c>
      <c r="H491">
        <v>76</v>
      </c>
      <c r="I491" s="19">
        <f>patients[[#This Row],[departure_date]]-patients[[#This Row],[arrival_date]]</f>
        <v>14</v>
      </c>
      <c r="J491" t="str">
        <f>IF(patients[[#This Row],[age]] &lt; 18,"0-17",IF(patients[[#This Row],[age]] &lt; 40,"18-39",IF(patients[[#This Row],[age]] &lt; 65,"40-64","65+")))</f>
        <v>18-39</v>
      </c>
      <c r="K491" s="1" t="str">
        <f>TEXT(patients[[#This Row],[arrival_date]],"[$-409]mmmm")</f>
        <v>February</v>
      </c>
      <c r="L491" s="1">
        <f>MATCH(K491, {"January";"February";"March";"April";"May";"June";"July";"August";"September";"October";"November";"December"}, 0)</f>
        <v>2</v>
      </c>
      <c r="M491" s="1" t="str" cm="1">
        <f t="array" ref="M491">IF(patients[[#This Row],[length_of_stay]]&gt;patients!$N$2:$N$2,"Over average","Less than average")</f>
        <v>Over average</v>
      </c>
    </row>
    <row r="492" spans="2:13" x14ac:dyDescent="0.25">
      <c r="B492" s="1" t="s">
        <v>989</v>
      </c>
      <c r="C492" s="1" t="s">
        <v>990</v>
      </c>
      <c r="D492">
        <v>21</v>
      </c>
      <c r="E492" s="2">
        <v>45726</v>
      </c>
      <c r="F492" s="2">
        <v>45731</v>
      </c>
      <c r="G492" s="1" t="s">
        <v>20</v>
      </c>
      <c r="H492">
        <v>72</v>
      </c>
      <c r="I492" s="19">
        <f>patients[[#This Row],[departure_date]]-patients[[#This Row],[arrival_date]]</f>
        <v>5</v>
      </c>
      <c r="J492" t="str">
        <f>IF(patients[[#This Row],[age]] &lt; 18,"0-17",IF(patients[[#This Row],[age]] &lt; 40,"18-39",IF(patients[[#This Row],[age]] &lt; 65,"40-64","65+")))</f>
        <v>18-39</v>
      </c>
      <c r="K492" s="1" t="str">
        <f>TEXT(patients[[#This Row],[arrival_date]],"[$-409]mmmm")</f>
        <v>March</v>
      </c>
      <c r="L492" s="1">
        <f>MATCH(K492, {"January";"February";"March";"April";"May";"June";"July";"August";"September";"October";"November";"December"}, 0)</f>
        <v>3</v>
      </c>
      <c r="M492" s="1" t="str" cm="1">
        <f t="array" ref="M492">IF(patients[[#This Row],[length_of_stay]]&gt;patients!$N$2:$N$2,"Over average","Less than average")</f>
        <v>Less than average</v>
      </c>
    </row>
    <row r="493" spans="2:13" x14ac:dyDescent="0.25">
      <c r="B493" s="1" t="s">
        <v>991</v>
      </c>
      <c r="C493" s="1" t="s">
        <v>992</v>
      </c>
      <c r="D493">
        <v>33</v>
      </c>
      <c r="E493" s="2">
        <v>45999</v>
      </c>
      <c r="F493" s="2">
        <v>46004</v>
      </c>
      <c r="G493" s="1" t="s">
        <v>17</v>
      </c>
      <c r="H493">
        <v>82</v>
      </c>
      <c r="I493" s="19">
        <f>patients[[#This Row],[departure_date]]-patients[[#This Row],[arrival_date]]</f>
        <v>5</v>
      </c>
      <c r="J493" t="str">
        <f>IF(patients[[#This Row],[age]] &lt; 18,"0-17",IF(patients[[#This Row],[age]] &lt; 40,"18-39",IF(patients[[#This Row],[age]] &lt; 65,"40-64","65+")))</f>
        <v>18-39</v>
      </c>
      <c r="K493" s="1" t="str">
        <f>TEXT(patients[[#This Row],[arrival_date]],"[$-409]mmmm")</f>
        <v>December</v>
      </c>
      <c r="L493" s="1">
        <f>MATCH(K493, {"January";"February";"March";"April";"May";"June";"July";"August";"September";"October";"November";"December"}, 0)</f>
        <v>12</v>
      </c>
      <c r="M493" s="1" t="str" cm="1">
        <f t="array" ref="M493">IF(patients[[#This Row],[length_of_stay]]&gt;patients!$N$2:$N$2,"Over average","Less than average")</f>
        <v>Less than average</v>
      </c>
    </row>
    <row r="494" spans="2:13" x14ac:dyDescent="0.25">
      <c r="B494" s="1" t="s">
        <v>993</v>
      </c>
      <c r="C494" s="1" t="s">
        <v>994</v>
      </c>
      <c r="D494">
        <v>50</v>
      </c>
      <c r="E494" s="2">
        <v>45699</v>
      </c>
      <c r="F494" s="2">
        <v>45701</v>
      </c>
      <c r="G494" s="1" t="s">
        <v>14</v>
      </c>
      <c r="H494">
        <v>91</v>
      </c>
      <c r="I494" s="19">
        <f>patients[[#This Row],[departure_date]]-patients[[#This Row],[arrival_date]]</f>
        <v>2</v>
      </c>
      <c r="J494" t="str">
        <f>IF(patients[[#This Row],[age]] &lt; 18,"0-17",IF(patients[[#This Row],[age]] &lt; 40,"18-39",IF(patients[[#This Row],[age]] &lt; 65,"40-64","65+")))</f>
        <v>40-64</v>
      </c>
      <c r="K494" s="1" t="str">
        <f>TEXT(patients[[#This Row],[arrival_date]],"[$-409]mmmm")</f>
        <v>February</v>
      </c>
      <c r="L494" s="1">
        <f>MATCH(K494, {"January";"February";"March";"April";"May";"June";"July";"August";"September";"October";"November";"December"}, 0)</f>
        <v>2</v>
      </c>
      <c r="M494" s="1" t="str" cm="1">
        <f t="array" ref="M494">IF(patients[[#This Row],[length_of_stay]]&gt;patients!$N$2:$N$2,"Over average","Less than average")</f>
        <v>Less than average</v>
      </c>
    </row>
    <row r="495" spans="2:13" x14ac:dyDescent="0.25">
      <c r="B495" s="1" t="s">
        <v>995</v>
      </c>
      <c r="C495" s="1" t="s">
        <v>996</v>
      </c>
      <c r="D495">
        <v>50</v>
      </c>
      <c r="E495" s="2">
        <v>45998</v>
      </c>
      <c r="F495" s="2">
        <v>46012</v>
      </c>
      <c r="G495" s="1" t="s">
        <v>9</v>
      </c>
      <c r="H495">
        <v>80</v>
      </c>
      <c r="I495" s="19">
        <f>patients[[#This Row],[departure_date]]-patients[[#This Row],[arrival_date]]</f>
        <v>14</v>
      </c>
      <c r="J495" t="str">
        <f>IF(patients[[#This Row],[age]] &lt; 18,"0-17",IF(patients[[#This Row],[age]] &lt; 40,"18-39",IF(patients[[#This Row],[age]] &lt; 65,"40-64","65+")))</f>
        <v>40-64</v>
      </c>
      <c r="K495" s="1" t="str">
        <f>TEXT(patients[[#This Row],[arrival_date]],"[$-409]mmmm")</f>
        <v>December</v>
      </c>
      <c r="L495" s="1">
        <f>MATCH(K495, {"January";"February";"March";"April";"May";"June";"July";"August";"September";"October";"November";"December"}, 0)</f>
        <v>12</v>
      </c>
      <c r="M495" s="1" t="str" cm="1">
        <f t="array" ref="M495">IF(patients[[#This Row],[length_of_stay]]&gt;patients!$N$2:$N$2,"Over average","Less than average")</f>
        <v>Over average</v>
      </c>
    </row>
    <row r="496" spans="2:13" x14ac:dyDescent="0.25">
      <c r="B496" s="1" t="s">
        <v>997</v>
      </c>
      <c r="C496" s="1" t="s">
        <v>998</v>
      </c>
      <c r="D496">
        <v>43</v>
      </c>
      <c r="E496" s="2">
        <v>46016</v>
      </c>
      <c r="F496" s="2">
        <v>46020</v>
      </c>
      <c r="G496" s="1" t="s">
        <v>14</v>
      </c>
      <c r="H496">
        <v>60</v>
      </c>
      <c r="I496" s="19">
        <f>patients[[#This Row],[departure_date]]-patients[[#This Row],[arrival_date]]</f>
        <v>4</v>
      </c>
      <c r="J496" t="str">
        <f>IF(patients[[#This Row],[age]] &lt; 18,"0-17",IF(patients[[#This Row],[age]] &lt; 40,"18-39",IF(patients[[#This Row],[age]] &lt; 65,"40-64","65+")))</f>
        <v>40-64</v>
      </c>
      <c r="K496" s="1" t="str">
        <f>TEXT(patients[[#This Row],[arrival_date]],"[$-409]mmmm")</f>
        <v>December</v>
      </c>
      <c r="L496" s="1">
        <f>MATCH(K496, {"January";"February";"March";"April";"May";"June";"July";"August";"September";"October";"November";"December"}, 0)</f>
        <v>12</v>
      </c>
      <c r="M496" s="1" t="str" cm="1">
        <f t="array" ref="M496">IF(patients[[#This Row],[length_of_stay]]&gt;patients!$N$2:$N$2,"Over average","Less than average")</f>
        <v>Less than average</v>
      </c>
    </row>
    <row r="497" spans="2:13" x14ac:dyDescent="0.25">
      <c r="B497" s="1" t="s">
        <v>999</v>
      </c>
      <c r="C497" s="1" t="s">
        <v>1000</v>
      </c>
      <c r="D497">
        <v>62</v>
      </c>
      <c r="E497" s="2">
        <v>45782</v>
      </c>
      <c r="F497" s="2">
        <v>45785</v>
      </c>
      <c r="G497" s="1" t="s">
        <v>20</v>
      </c>
      <c r="H497">
        <v>72</v>
      </c>
      <c r="I497" s="19">
        <f>patients[[#This Row],[departure_date]]-patients[[#This Row],[arrival_date]]</f>
        <v>3</v>
      </c>
      <c r="J497" t="str">
        <f>IF(patients[[#This Row],[age]] &lt; 18,"0-17",IF(patients[[#This Row],[age]] &lt; 40,"18-39",IF(patients[[#This Row],[age]] &lt; 65,"40-64","65+")))</f>
        <v>40-64</v>
      </c>
      <c r="K497" s="1" t="str">
        <f>TEXT(patients[[#This Row],[arrival_date]],"[$-409]mmmm")</f>
        <v>May</v>
      </c>
      <c r="L497" s="1">
        <f>MATCH(K497, {"January";"February";"March";"April";"May";"June";"July";"August";"September";"October";"November";"December"}, 0)</f>
        <v>5</v>
      </c>
      <c r="M497" s="1" t="str" cm="1">
        <f t="array" ref="M497">IF(patients[[#This Row],[length_of_stay]]&gt;patients!$N$2:$N$2,"Over average","Less than average")</f>
        <v>Less than average</v>
      </c>
    </row>
    <row r="498" spans="2:13" x14ac:dyDescent="0.25">
      <c r="B498" s="1" t="s">
        <v>1001</v>
      </c>
      <c r="C498" s="1" t="s">
        <v>1002</v>
      </c>
      <c r="D498">
        <v>10</v>
      </c>
      <c r="E498" s="2">
        <v>45930</v>
      </c>
      <c r="F498" s="2">
        <v>45933</v>
      </c>
      <c r="G498" s="1" t="s">
        <v>20</v>
      </c>
      <c r="H498">
        <v>77</v>
      </c>
      <c r="I498" s="19">
        <f>patients[[#This Row],[departure_date]]-patients[[#This Row],[arrival_date]]</f>
        <v>3</v>
      </c>
      <c r="J498" t="str">
        <f>IF(patients[[#This Row],[age]] &lt; 18,"0-17",IF(patients[[#This Row],[age]] &lt; 40,"18-39",IF(patients[[#This Row],[age]] &lt; 65,"40-64","65+")))</f>
        <v>0-17</v>
      </c>
      <c r="K498" s="1" t="str">
        <f>TEXT(patients[[#This Row],[arrival_date]],"[$-409]mmmm")</f>
        <v>September</v>
      </c>
      <c r="L498" s="1">
        <f>MATCH(K498, {"January";"February";"March";"April";"May";"June";"July";"August";"September";"October";"November";"December"}, 0)</f>
        <v>9</v>
      </c>
      <c r="M498" s="1" t="str" cm="1">
        <f t="array" ref="M498">IF(patients[[#This Row],[length_of_stay]]&gt;patients!$N$2:$N$2,"Over average","Less than average")</f>
        <v>Less than average</v>
      </c>
    </row>
    <row r="499" spans="2:13" x14ac:dyDescent="0.25">
      <c r="B499" s="1" t="s">
        <v>1003</v>
      </c>
      <c r="C499" s="1" t="s">
        <v>1004</v>
      </c>
      <c r="D499">
        <v>85</v>
      </c>
      <c r="E499" s="2">
        <v>45809</v>
      </c>
      <c r="F499" s="2">
        <v>45819</v>
      </c>
      <c r="G499" s="1" t="s">
        <v>17</v>
      </c>
      <c r="H499">
        <v>78</v>
      </c>
      <c r="I499" s="19">
        <f>patients[[#This Row],[departure_date]]-patients[[#This Row],[arrival_date]]</f>
        <v>10</v>
      </c>
      <c r="J499" t="str">
        <f>IF(patients[[#This Row],[age]] &lt; 18,"0-17",IF(patients[[#This Row],[age]] &lt; 40,"18-39",IF(patients[[#This Row],[age]] &lt; 65,"40-64","65+")))</f>
        <v>65+</v>
      </c>
      <c r="K499" s="1" t="str">
        <f>TEXT(patients[[#This Row],[arrival_date]],"[$-409]mmmm")</f>
        <v>June</v>
      </c>
      <c r="L499" s="1">
        <f>MATCH(K499, {"January";"February";"March";"April";"May";"June";"July";"August";"September";"October";"November";"December"}, 0)</f>
        <v>6</v>
      </c>
      <c r="M499" s="1" t="str" cm="1">
        <f t="array" ref="M499">IF(patients[[#This Row],[length_of_stay]]&gt;patients!$N$2:$N$2,"Over average","Less than average")</f>
        <v>Over average</v>
      </c>
    </row>
    <row r="500" spans="2:13" x14ac:dyDescent="0.25">
      <c r="B500" s="1" t="s">
        <v>1005</v>
      </c>
      <c r="C500" s="1" t="s">
        <v>1006</v>
      </c>
      <c r="D500">
        <v>36</v>
      </c>
      <c r="E500" s="2">
        <v>45998</v>
      </c>
      <c r="F500" s="2">
        <v>46006</v>
      </c>
      <c r="G500" s="1" t="s">
        <v>14</v>
      </c>
      <c r="H500">
        <v>87</v>
      </c>
      <c r="I500" s="19">
        <f>patients[[#This Row],[departure_date]]-patients[[#This Row],[arrival_date]]</f>
        <v>8</v>
      </c>
      <c r="J500" t="str">
        <f>IF(patients[[#This Row],[age]] &lt; 18,"0-17",IF(patients[[#This Row],[age]] &lt; 40,"18-39",IF(patients[[#This Row],[age]] &lt; 65,"40-64","65+")))</f>
        <v>18-39</v>
      </c>
      <c r="K500" s="1" t="str">
        <f>TEXT(patients[[#This Row],[arrival_date]],"[$-409]mmmm")</f>
        <v>December</v>
      </c>
      <c r="L500" s="1">
        <f>MATCH(K500, {"January";"February";"March";"April";"May";"June";"July";"August";"September";"October";"November";"December"}, 0)</f>
        <v>12</v>
      </c>
      <c r="M500" s="1" t="str" cm="1">
        <f t="array" ref="M500">IF(patients[[#This Row],[length_of_stay]]&gt;patients!$N$2:$N$2,"Over average","Less than average")</f>
        <v>Over average</v>
      </c>
    </row>
    <row r="501" spans="2:13" x14ac:dyDescent="0.25">
      <c r="B501" s="1" t="s">
        <v>1007</v>
      </c>
      <c r="C501" s="1" t="s">
        <v>1008</v>
      </c>
      <c r="D501">
        <v>4</v>
      </c>
      <c r="E501" s="2">
        <v>45758</v>
      </c>
      <c r="F501" s="2">
        <v>45762</v>
      </c>
      <c r="G501" s="1" t="s">
        <v>17</v>
      </c>
      <c r="H501">
        <v>78</v>
      </c>
      <c r="I501" s="19">
        <f>patients[[#This Row],[departure_date]]-patients[[#This Row],[arrival_date]]</f>
        <v>4</v>
      </c>
      <c r="J501" t="str">
        <f>IF(patients[[#This Row],[age]] &lt; 18,"0-17",IF(patients[[#This Row],[age]] &lt; 40,"18-39",IF(patients[[#This Row],[age]] &lt; 65,"40-64","65+")))</f>
        <v>0-17</v>
      </c>
      <c r="K501" s="1" t="str">
        <f>TEXT(patients[[#This Row],[arrival_date]],"[$-409]mmmm")</f>
        <v>April</v>
      </c>
      <c r="L501" s="1">
        <f>MATCH(K501, {"January";"February";"March";"April";"May";"June";"July";"August";"September";"October";"November";"December"}, 0)</f>
        <v>4</v>
      </c>
      <c r="M501" s="1" t="str" cm="1">
        <f t="array" ref="M501">IF(patients[[#This Row],[length_of_stay]]&gt;patients!$N$2:$N$2,"Over average","Less than average")</f>
        <v>Less than average</v>
      </c>
    </row>
    <row r="502" spans="2:13" x14ac:dyDescent="0.25">
      <c r="B502" s="1" t="s">
        <v>1009</v>
      </c>
      <c r="C502" s="1" t="s">
        <v>1010</v>
      </c>
      <c r="D502">
        <v>63</v>
      </c>
      <c r="E502" s="2">
        <v>45774</v>
      </c>
      <c r="F502" s="2">
        <v>45776</v>
      </c>
      <c r="G502" s="1" t="s">
        <v>14</v>
      </c>
      <c r="H502">
        <v>70</v>
      </c>
      <c r="I502" s="19">
        <f>patients[[#This Row],[departure_date]]-patients[[#This Row],[arrival_date]]</f>
        <v>2</v>
      </c>
      <c r="J502" t="str">
        <f>IF(patients[[#This Row],[age]] &lt; 18,"0-17",IF(patients[[#This Row],[age]] &lt; 40,"18-39",IF(patients[[#This Row],[age]] &lt; 65,"40-64","65+")))</f>
        <v>40-64</v>
      </c>
      <c r="K502" s="1" t="str">
        <f>TEXT(patients[[#This Row],[arrival_date]],"[$-409]mmmm")</f>
        <v>April</v>
      </c>
      <c r="L502" s="1">
        <f>MATCH(K502, {"January";"February";"March";"April";"May";"June";"July";"August";"September";"October";"November";"December"}, 0)</f>
        <v>4</v>
      </c>
      <c r="M502" s="1" t="str" cm="1">
        <f t="array" ref="M502">IF(patients[[#This Row],[length_of_stay]]&gt;patients!$N$2:$N$2,"Over average","Less than average")</f>
        <v>Less than average</v>
      </c>
    </row>
    <row r="503" spans="2:13" x14ac:dyDescent="0.25">
      <c r="B503" s="1" t="s">
        <v>1011</v>
      </c>
      <c r="C503" s="1" t="s">
        <v>1012</v>
      </c>
      <c r="D503">
        <v>53</v>
      </c>
      <c r="E503" s="2">
        <v>45704</v>
      </c>
      <c r="F503" s="2">
        <v>45716</v>
      </c>
      <c r="G503" s="1" t="s">
        <v>17</v>
      </c>
      <c r="H503">
        <v>80</v>
      </c>
      <c r="I503" s="19">
        <f>patients[[#This Row],[departure_date]]-patients[[#This Row],[arrival_date]]</f>
        <v>12</v>
      </c>
      <c r="J503" t="str">
        <f>IF(patients[[#This Row],[age]] &lt; 18,"0-17",IF(patients[[#This Row],[age]] &lt; 40,"18-39",IF(patients[[#This Row],[age]] &lt; 65,"40-64","65+")))</f>
        <v>40-64</v>
      </c>
      <c r="K503" s="1" t="str">
        <f>TEXT(patients[[#This Row],[arrival_date]],"[$-409]mmmm")</f>
        <v>February</v>
      </c>
      <c r="L503" s="1">
        <f>MATCH(K503, {"January";"February";"March";"April";"May";"June";"July";"August";"September";"October";"November";"December"}, 0)</f>
        <v>2</v>
      </c>
      <c r="M503" s="1" t="str" cm="1">
        <f t="array" ref="M503">IF(patients[[#This Row],[length_of_stay]]&gt;patients!$N$2:$N$2,"Over average","Less than average")</f>
        <v>Over average</v>
      </c>
    </row>
    <row r="504" spans="2:13" x14ac:dyDescent="0.25">
      <c r="B504" s="1" t="s">
        <v>1013</v>
      </c>
      <c r="C504" s="1" t="s">
        <v>1014</v>
      </c>
      <c r="D504">
        <v>10</v>
      </c>
      <c r="E504" s="2">
        <v>45662</v>
      </c>
      <c r="F504" s="2">
        <v>45663</v>
      </c>
      <c r="G504" s="1" t="s">
        <v>14</v>
      </c>
      <c r="H504">
        <v>79</v>
      </c>
      <c r="I504" s="19">
        <f>patients[[#This Row],[departure_date]]-patients[[#This Row],[arrival_date]]</f>
        <v>1</v>
      </c>
      <c r="J504" t="str">
        <f>IF(patients[[#This Row],[age]] &lt; 18,"0-17",IF(patients[[#This Row],[age]] &lt; 40,"18-39",IF(patients[[#This Row],[age]] &lt; 65,"40-64","65+")))</f>
        <v>0-17</v>
      </c>
      <c r="K504" s="1" t="str">
        <f>TEXT(patients[[#This Row],[arrival_date]],"[$-409]mmmm")</f>
        <v>January</v>
      </c>
      <c r="L504" s="1">
        <f>MATCH(K504, {"January";"February";"March";"April";"May";"June";"July";"August";"September";"October";"November";"December"}, 0)</f>
        <v>1</v>
      </c>
      <c r="M504" s="1" t="str" cm="1">
        <f t="array" ref="M504">IF(patients[[#This Row],[length_of_stay]]&gt;patients!$N$2:$N$2,"Over average","Less than average")</f>
        <v>Less than average</v>
      </c>
    </row>
    <row r="505" spans="2:13" x14ac:dyDescent="0.25">
      <c r="B505" s="1" t="s">
        <v>1015</v>
      </c>
      <c r="C505" s="1" t="s">
        <v>1016</v>
      </c>
      <c r="D505">
        <v>40</v>
      </c>
      <c r="E505" s="2">
        <v>45669</v>
      </c>
      <c r="F505" s="2">
        <v>45675</v>
      </c>
      <c r="G505" s="1" t="s">
        <v>9</v>
      </c>
      <c r="H505">
        <v>76</v>
      </c>
      <c r="I505" s="19">
        <f>patients[[#This Row],[departure_date]]-patients[[#This Row],[arrival_date]]</f>
        <v>6</v>
      </c>
      <c r="J505" t="str">
        <f>IF(patients[[#This Row],[age]] &lt; 18,"0-17",IF(patients[[#This Row],[age]] &lt; 40,"18-39",IF(patients[[#This Row],[age]] &lt; 65,"40-64","65+")))</f>
        <v>40-64</v>
      </c>
      <c r="K505" s="1" t="str">
        <f>TEXT(patients[[#This Row],[arrival_date]],"[$-409]mmmm")</f>
        <v>January</v>
      </c>
      <c r="L505" s="1">
        <f>MATCH(K505, {"January";"February";"March";"April";"May";"June";"July";"August";"September";"October";"November";"December"}, 0)</f>
        <v>1</v>
      </c>
      <c r="M505" s="1" t="str" cm="1">
        <f t="array" ref="M505">IF(patients[[#This Row],[length_of_stay]]&gt;patients!$N$2:$N$2,"Over average","Less than average")</f>
        <v>Less than average</v>
      </c>
    </row>
    <row r="506" spans="2:13" x14ac:dyDescent="0.25">
      <c r="B506" s="1" t="s">
        <v>1017</v>
      </c>
      <c r="C506" s="1" t="s">
        <v>1018</v>
      </c>
      <c r="D506">
        <v>18</v>
      </c>
      <c r="E506" s="2">
        <v>45961</v>
      </c>
      <c r="F506" s="2">
        <v>45973</v>
      </c>
      <c r="G506" s="1" t="s">
        <v>9</v>
      </c>
      <c r="H506">
        <v>91</v>
      </c>
      <c r="I506" s="19">
        <f>patients[[#This Row],[departure_date]]-patients[[#This Row],[arrival_date]]</f>
        <v>12</v>
      </c>
      <c r="J506" t="str">
        <f>IF(patients[[#This Row],[age]] &lt; 18,"0-17",IF(patients[[#This Row],[age]] &lt; 40,"18-39",IF(patients[[#This Row],[age]] &lt; 65,"40-64","65+")))</f>
        <v>18-39</v>
      </c>
      <c r="K506" s="1" t="str">
        <f>TEXT(patients[[#This Row],[arrival_date]],"[$-409]mmmm")</f>
        <v>October</v>
      </c>
      <c r="L506" s="1">
        <f>MATCH(K506, {"January";"February";"March";"April";"May";"June";"July";"August";"September";"October";"November";"December"}, 0)</f>
        <v>10</v>
      </c>
      <c r="M506" s="1" t="str" cm="1">
        <f t="array" ref="M506">IF(patients[[#This Row],[length_of_stay]]&gt;patients!$N$2:$N$2,"Over average","Less than average")</f>
        <v>Over average</v>
      </c>
    </row>
    <row r="507" spans="2:13" x14ac:dyDescent="0.25">
      <c r="B507" s="1" t="s">
        <v>1019</v>
      </c>
      <c r="C507" s="1" t="s">
        <v>1020</v>
      </c>
      <c r="D507">
        <v>69</v>
      </c>
      <c r="E507" s="2">
        <v>45840</v>
      </c>
      <c r="F507" s="2">
        <v>45850</v>
      </c>
      <c r="G507" s="1" t="s">
        <v>14</v>
      </c>
      <c r="H507">
        <v>95</v>
      </c>
      <c r="I507" s="19">
        <f>patients[[#This Row],[departure_date]]-patients[[#This Row],[arrival_date]]</f>
        <v>10</v>
      </c>
      <c r="J507" t="str">
        <f>IF(patients[[#This Row],[age]] &lt; 18,"0-17",IF(patients[[#This Row],[age]] &lt; 40,"18-39",IF(patients[[#This Row],[age]] &lt; 65,"40-64","65+")))</f>
        <v>65+</v>
      </c>
      <c r="K507" s="1" t="str">
        <f>TEXT(patients[[#This Row],[arrival_date]],"[$-409]mmmm")</f>
        <v>July</v>
      </c>
      <c r="L507" s="1">
        <f>MATCH(K507, {"January";"February";"March";"April";"May";"June";"July";"August";"September";"October";"November";"December"}, 0)</f>
        <v>7</v>
      </c>
      <c r="M507" s="1" t="str" cm="1">
        <f t="array" ref="M507">IF(patients[[#This Row],[length_of_stay]]&gt;patients!$N$2:$N$2,"Over average","Less than average")</f>
        <v>Over average</v>
      </c>
    </row>
    <row r="508" spans="2:13" x14ac:dyDescent="0.25">
      <c r="B508" s="1" t="s">
        <v>1021</v>
      </c>
      <c r="C508" s="1" t="s">
        <v>1022</v>
      </c>
      <c r="D508">
        <v>74</v>
      </c>
      <c r="E508" s="2">
        <v>45873</v>
      </c>
      <c r="F508" s="2">
        <v>45880</v>
      </c>
      <c r="G508" s="1" t="s">
        <v>17</v>
      </c>
      <c r="H508">
        <v>74</v>
      </c>
      <c r="I508" s="19">
        <f>patients[[#This Row],[departure_date]]-patients[[#This Row],[arrival_date]]</f>
        <v>7</v>
      </c>
      <c r="J508" t="str">
        <f>IF(patients[[#This Row],[age]] &lt; 18,"0-17",IF(patients[[#This Row],[age]] &lt; 40,"18-39",IF(patients[[#This Row],[age]] &lt; 65,"40-64","65+")))</f>
        <v>65+</v>
      </c>
      <c r="K508" s="1" t="str">
        <f>TEXT(patients[[#This Row],[arrival_date]],"[$-409]mmmm")</f>
        <v>August</v>
      </c>
      <c r="L508" s="1">
        <f>MATCH(K508, {"January";"February";"March";"April";"May";"June";"July";"August";"September";"October";"November";"December"}, 0)</f>
        <v>8</v>
      </c>
      <c r="M508" s="1" t="str" cm="1">
        <f t="array" ref="M508">IF(patients[[#This Row],[length_of_stay]]&gt;patients!$N$2:$N$2,"Over average","Less than average")</f>
        <v>Less than average</v>
      </c>
    </row>
    <row r="509" spans="2:13" x14ac:dyDescent="0.25">
      <c r="B509" s="1" t="s">
        <v>1023</v>
      </c>
      <c r="C509" s="1" t="s">
        <v>1024</v>
      </c>
      <c r="D509">
        <v>26</v>
      </c>
      <c r="E509" s="2">
        <v>45849</v>
      </c>
      <c r="F509" s="2">
        <v>45858</v>
      </c>
      <c r="G509" s="1" t="s">
        <v>14</v>
      </c>
      <c r="H509">
        <v>76</v>
      </c>
      <c r="I509" s="19">
        <f>patients[[#This Row],[departure_date]]-patients[[#This Row],[arrival_date]]</f>
        <v>9</v>
      </c>
      <c r="J509" t="str">
        <f>IF(patients[[#This Row],[age]] &lt; 18,"0-17",IF(patients[[#This Row],[age]] &lt; 40,"18-39",IF(patients[[#This Row],[age]] &lt; 65,"40-64","65+")))</f>
        <v>18-39</v>
      </c>
      <c r="K509" s="1" t="str">
        <f>TEXT(patients[[#This Row],[arrival_date]],"[$-409]mmmm")</f>
        <v>July</v>
      </c>
      <c r="L509" s="1">
        <f>MATCH(K509, {"January";"February";"March";"April";"May";"June";"July";"August";"September";"October";"November";"December"}, 0)</f>
        <v>7</v>
      </c>
      <c r="M509" s="1" t="str" cm="1">
        <f t="array" ref="M509">IF(patients[[#This Row],[length_of_stay]]&gt;patients!$N$2:$N$2,"Over average","Less than average")</f>
        <v>Over average</v>
      </c>
    </row>
    <row r="510" spans="2:13" x14ac:dyDescent="0.25">
      <c r="B510" s="1" t="s">
        <v>1025</v>
      </c>
      <c r="C510" s="1" t="s">
        <v>1026</v>
      </c>
      <c r="D510">
        <v>50</v>
      </c>
      <c r="E510" s="2">
        <v>45876</v>
      </c>
      <c r="F510" s="2">
        <v>45878</v>
      </c>
      <c r="G510" s="1" t="s">
        <v>17</v>
      </c>
      <c r="H510">
        <v>87</v>
      </c>
      <c r="I510" s="19">
        <f>patients[[#This Row],[departure_date]]-patients[[#This Row],[arrival_date]]</f>
        <v>2</v>
      </c>
      <c r="J510" t="str">
        <f>IF(patients[[#This Row],[age]] &lt; 18,"0-17",IF(patients[[#This Row],[age]] &lt; 40,"18-39",IF(patients[[#This Row],[age]] &lt; 65,"40-64","65+")))</f>
        <v>40-64</v>
      </c>
      <c r="K510" s="1" t="str">
        <f>TEXT(patients[[#This Row],[arrival_date]],"[$-409]mmmm")</f>
        <v>August</v>
      </c>
      <c r="L510" s="1">
        <f>MATCH(K510, {"January";"February";"March";"April";"May";"June";"July";"August";"September";"October";"November";"December"}, 0)</f>
        <v>8</v>
      </c>
      <c r="M510" s="1" t="str" cm="1">
        <f t="array" ref="M510">IF(patients[[#This Row],[length_of_stay]]&gt;patients!$N$2:$N$2,"Over average","Less than average")</f>
        <v>Less than average</v>
      </c>
    </row>
    <row r="511" spans="2:13" x14ac:dyDescent="0.25">
      <c r="B511" s="1" t="s">
        <v>1027</v>
      </c>
      <c r="C511" s="1" t="s">
        <v>1028</v>
      </c>
      <c r="D511">
        <v>50</v>
      </c>
      <c r="E511" s="2">
        <v>45896</v>
      </c>
      <c r="F511" s="2">
        <v>45900</v>
      </c>
      <c r="G511" s="1" t="s">
        <v>14</v>
      </c>
      <c r="H511">
        <v>66</v>
      </c>
      <c r="I511" s="19">
        <f>patients[[#This Row],[departure_date]]-patients[[#This Row],[arrival_date]]</f>
        <v>4</v>
      </c>
      <c r="J511" t="str">
        <f>IF(patients[[#This Row],[age]] &lt; 18,"0-17",IF(patients[[#This Row],[age]] &lt; 40,"18-39",IF(patients[[#This Row],[age]] &lt; 65,"40-64","65+")))</f>
        <v>40-64</v>
      </c>
      <c r="K511" s="1" t="str">
        <f>TEXT(patients[[#This Row],[arrival_date]],"[$-409]mmmm")</f>
        <v>August</v>
      </c>
      <c r="L511" s="1">
        <f>MATCH(K511, {"January";"February";"March";"April";"May";"June";"July";"August";"September";"October";"November";"December"}, 0)</f>
        <v>8</v>
      </c>
      <c r="M511" s="1" t="str" cm="1">
        <f t="array" ref="M511">IF(patients[[#This Row],[length_of_stay]]&gt;patients!$N$2:$N$2,"Over average","Less than average")</f>
        <v>Less than average</v>
      </c>
    </row>
    <row r="512" spans="2:13" x14ac:dyDescent="0.25">
      <c r="B512" s="1" t="s">
        <v>1029</v>
      </c>
      <c r="C512" s="1" t="s">
        <v>1030</v>
      </c>
      <c r="D512">
        <v>34</v>
      </c>
      <c r="E512" s="2">
        <v>45986</v>
      </c>
      <c r="F512" s="2">
        <v>45994</v>
      </c>
      <c r="G512" s="1" t="s">
        <v>20</v>
      </c>
      <c r="H512">
        <v>76</v>
      </c>
      <c r="I512" s="19">
        <f>patients[[#This Row],[departure_date]]-patients[[#This Row],[arrival_date]]</f>
        <v>8</v>
      </c>
      <c r="J512" t="str">
        <f>IF(patients[[#This Row],[age]] &lt; 18,"0-17",IF(patients[[#This Row],[age]] &lt; 40,"18-39",IF(patients[[#This Row],[age]] &lt; 65,"40-64","65+")))</f>
        <v>18-39</v>
      </c>
      <c r="K512" s="1" t="str">
        <f>TEXT(patients[[#This Row],[arrival_date]],"[$-409]mmmm")</f>
        <v>November</v>
      </c>
      <c r="L512" s="1">
        <f>MATCH(K512, {"January";"February";"March";"April";"May";"June";"July";"August";"September";"October";"November";"December"}, 0)</f>
        <v>11</v>
      </c>
      <c r="M512" s="1" t="str" cm="1">
        <f t="array" ref="M512">IF(patients[[#This Row],[length_of_stay]]&gt;patients!$N$2:$N$2,"Over average","Less than average")</f>
        <v>Over average</v>
      </c>
    </row>
    <row r="513" spans="2:13" x14ac:dyDescent="0.25">
      <c r="B513" s="1" t="s">
        <v>1031</v>
      </c>
      <c r="C513" s="1" t="s">
        <v>1032</v>
      </c>
      <c r="D513">
        <v>80</v>
      </c>
      <c r="E513" s="2">
        <v>45882</v>
      </c>
      <c r="F513" s="2">
        <v>45890</v>
      </c>
      <c r="G513" s="1" t="s">
        <v>17</v>
      </c>
      <c r="H513">
        <v>78</v>
      </c>
      <c r="I513" s="19">
        <f>patients[[#This Row],[departure_date]]-patients[[#This Row],[arrival_date]]</f>
        <v>8</v>
      </c>
      <c r="J513" t="str">
        <f>IF(patients[[#This Row],[age]] &lt; 18,"0-17",IF(patients[[#This Row],[age]] &lt; 40,"18-39",IF(patients[[#This Row],[age]] &lt; 65,"40-64","65+")))</f>
        <v>65+</v>
      </c>
      <c r="K513" s="1" t="str">
        <f>TEXT(patients[[#This Row],[arrival_date]],"[$-409]mmmm")</f>
        <v>August</v>
      </c>
      <c r="L513" s="1">
        <f>MATCH(K513, {"January";"February";"March";"April";"May";"June";"July";"August";"September";"October";"November";"December"}, 0)</f>
        <v>8</v>
      </c>
      <c r="M513" s="1" t="str" cm="1">
        <f t="array" ref="M513">IF(patients[[#This Row],[length_of_stay]]&gt;patients!$N$2:$N$2,"Over average","Less than average")</f>
        <v>Over average</v>
      </c>
    </row>
    <row r="514" spans="2:13" x14ac:dyDescent="0.25">
      <c r="B514" s="1" t="s">
        <v>1033</v>
      </c>
      <c r="C514" s="1" t="s">
        <v>1034</v>
      </c>
      <c r="D514">
        <v>62</v>
      </c>
      <c r="E514" s="2">
        <v>45980</v>
      </c>
      <c r="F514" s="2">
        <v>45991</v>
      </c>
      <c r="G514" s="1" t="s">
        <v>9</v>
      </c>
      <c r="H514">
        <v>64</v>
      </c>
      <c r="I514" s="19">
        <f>patients[[#This Row],[departure_date]]-patients[[#This Row],[arrival_date]]</f>
        <v>11</v>
      </c>
      <c r="J514" t="str">
        <f>IF(patients[[#This Row],[age]] &lt; 18,"0-17",IF(patients[[#This Row],[age]] &lt; 40,"18-39",IF(patients[[#This Row],[age]] &lt; 65,"40-64","65+")))</f>
        <v>40-64</v>
      </c>
      <c r="K514" s="1" t="str">
        <f>TEXT(patients[[#This Row],[arrival_date]],"[$-409]mmmm")</f>
        <v>November</v>
      </c>
      <c r="L514" s="1">
        <f>MATCH(K514, {"January";"February";"March";"April";"May";"June";"July";"August";"September";"October";"November";"December"}, 0)</f>
        <v>11</v>
      </c>
      <c r="M514" s="1" t="str" cm="1">
        <f t="array" ref="M514">IF(patients[[#This Row],[length_of_stay]]&gt;patients!$N$2:$N$2,"Over average","Less than average")</f>
        <v>Over average</v>
      </c>
    </row>
    <row r="515" spans="2:13" x14ac:dyDescent="0.25">
      <c r="B515" s="1" t="s">
        <v>1035</v>
      </c>
      <c r="C515" s="1" t="s">
        <v>1036</v>
      </c>
      <c r="D515">
        <v>12</v>
      </c>
      <c r="E515" s="2">
        <v>45846</v>
      </c>
      <c r="F515" s="2">
        <v>45853</v>
      </c>
      <c r="G515" s="1" t="s">
        <v>14</v>
      </c>
      <c r="H515">
        <v>75</v>
      </c>
      <c r="I515" s="19">
        <f>patients[[#This Row],[departure_date]]-patients[[#This Row],[arrival_date]]</f>
        <v>7</v>
      </c>
      <c r="J515" t="str">
        <f>IF(patients[[#This Row],[age]] &lt; 18,"0-17",IF(patients[[#This Row],[age]] &lt; 40,"18-39",IF(patients[[#This Row],[age]] &lt; 65,"40-64","65+")))</f>
        <v>0-17</v>
      </c>
      <c r="K515" s="1" t="str">
        <f>TEXT(patients[[#This Row],[arrival_date]],"[$-409]mmmm")</f>
        <v>July</v>
      </c>
      <c r="L515" s="1">
        <f>MATCH(K515, {"January";"February";"March";"April";"May";"June";"July";"August";"September";"October";"November";"December"}, 0)</f>
        <v>7</v>
      </c>
      <c r="M515" s="1" t="str" cm="1">
        <f t="array" ref="M515">IF(patients[[#This Row],[length_of_stay]]&gt;patients!$N$2:$N$2,"Over average","Less than average")</f>
        <v>Less than average</v>
      </c>
    </row>
    <row r="516" spans="2:13" x14ac:dyDescent="0.25">
      <c r="B516" s="1" t="s">
        <v>1037</v>
      </c>
      <c r="C516" s="1" t="s">
        <v>1038</v>
      </c>
      <c r="D516">
        <v>21</v>
      </c>
      <c r="E516" s="2">
        <v>45871</v>
      </c>
      <c r="F516" s="2">
        <v>45882</v>
      </c>
      <c r="G516" s="1" t="s">
        <v>17</v>
      </c>
      <c r="H516">
        <v>62</v>
      </c>
      <c r="I516" s="19">
        <f>patients[[#This Row],[departure_date]]-patients[[#This Row],[arrival_date]]</f>
        <v>11</v>
      </c>
      <c r="J516" t="str">
        <f>IF(patients[[#This Row],[age]] &lt; 18,"0-17",IF(patients[[#This Row],[age]] &lt; 40,"18-39",IF(patients[[#This Row],[age]] &lt; 65,"40-64","65+")))</f>
        <v>18-39</v>
      </c>
      <c r="K516" s="1" t="str">
        <f>TEXT(patients[[#This Row],[arrival_date]],"[$-409]mmmm")</f>
        <v>August</v>
      </c>
      <c r="L516" s="1">
        <f>MATCH(K516, {"January";"February";"March";"April";"May";"June";"July";"August";"September";"October";"November";"December"}, 0)</f>
        <v>8</v>
      </c>
      <c r="M516" s="1" t="str" cm="1">
        <f t="array" ref="M516">IF(patients[[#This Row],[length_of_stay]]&gt;patients!$N$2:$N$2,"Over average","Less than average")</f>
        <v>Over average</v>
      </c>
    </row>
    <row r="517" spans="2:13" x14ac:dyDescent="0.25">
      <c r="B517" s="1" t="s">
        <v>1039</v>
      </c>
      <c r="C517" s="1" t="s">
        <v>1040</v>
      </c>
      <c r="D517">
        <v>53</v>
      </c>
      <c r="E517" s="2">
        <v>45955</v>
      </c>
      <c r="F517" s="2">
        <v>45969</v>
      </c>
      <c r="G517" s="1" t="s">
        <v>9</v>
      </c>
      <c r="H517">
        <v>80</v>
      </c>
      <c r="I517" s="19">
        <f>patients[[#This Row],[departure_date]]-patients[[#This Row],[arrival_date]]</f>
        <v>14</v>
      </c>
      <c r="J517" t="str">
        <f>IF(patients[[#This Row],[age]] &lt; 18,"0-17",IF(patients[[#This Row],[age]] &lt; 40,"18-39",IF(patients[[#This Row],[age]] &lt; 65,"40-64","65+")))</f>
        <v>40-64</v>
      </c>
      <c r="K517" s="1" t="str">
        <f>TEXT(patients[[#This Row],[arrival_date]],"[$-409]mmmm")</f>
        <v>October</v>
      </c>
      <c r="L517" s="1">
        <f>MATCH(K517, {"January";"February";"March";"April";"May";"June";"July";"August";"September";"October";"November";"December"}, 0)</f>
        <v>10</v>
      </c>
      <c r="M517" s="1" t="str" cm="1">
        <f t="array" ref="M517">IF(patients[[#This Row],[length_of_stay]]&gt;patients!$N$2:$N$2,"Over average","Less than average")</f>
        <v>Over average</v>
      </c>
    </row>
    <row r="518" spans="2:13" x14ac:dyDescent="0.25">
      <c r="B518" s="1" t="s">
        <v>1041</v>
      </c>
      <c r="C518" s="1" t="s">
        <v>1042</v>
      </c>
      <c r="D518">
        <v>79</v>
      </c>
      <c r="E518" s="2">
        <v>45851</v>
      </c>
      <c r="F518" s="2">
        <v>45860</v>
      </c>
      <c r="G518" s="1" t="s">
        <v>20</v>
      </c>
      <c r="H518">
        <v>83</v>
      </c>
      <c r="I518" s="19">
        <f>patients[[#This Row],[departure_date]]-patients[[#This Row],[arrival_date]]</f>
        <v>9</v>
      </c>
      <c r="J518" t="str">
        <f>IF(patients[[#This Row],[age]] &lt; 18,"0-17",IF(patients[[#This Row],[age]] &lt; 40,"18-39",IF(patients[[#This Row],[age]] &lt; 65,"40-64","65+")))</f>
        <v>65+</v>
      </c>
      <c r="K518" s="1" t="str">
        <f>TEXT(patients[[#This Row],[arrival_date]],"[$-409]mmmm")</f>
        <v>July</v>
      </c>
      <c r="L518" s="1">
        <f>MATCH(K518, {"January";"February";"March";"April";"May";"June";"July";"August";"September";"October";"November";"December"}, 0)</f>
        <v>7</v>
      </c>
      <c r="M518" s="1" t="str" cm="1">
        <f t="array" ref="M518">IF(patients[[#This Row],[length_of_stay]]&gt;patients!$N$2:$N$2,"Over average","Less than average")</f>
        <v>Over average</v>
      </c>
    </row>
    <row r="519" spans="2:13" x14ac:dyDescent="0.25">
      <c r="B519" s="1" t="s">
        <v>1043</v>
      </c>
      <c r="C519" s="1" t="s">
        <v>1044</v>
      </c>
      <c r="D519">
        <v>34</v>
      </c>
      <c r="E519" s="2">
        <v>45943</v>
      </c>
      <c r="F519" s="2">
        <v>45952</v>
      </c>
      <c r="G519" s="1" t="s">
        <v>20</v>
      </c>
      <c r="H519">
        <v>89</v>
      </c>
      <c r="I519" s="19">
        <f>patients[[#This Row],[departure_date]]-patients[[#This Row],[arrival_date]]</f>
        <v>9</v>
      </c>
      <c r="J519" t="str">
        <f>IF(patients[[#This Row],[age]] &lt; 18,"0-17",IF(patients[[#This Row],[age]] &lt; 40,"18-39",IF(patients[[#This Row],[age]] &lt; 65,"40-64","65+")))</f>
        <v>18-39</v>
      </c>
      <c r="K519" s="1" t="str">
        <f>TEXT(patients[[#This Row],[arrival_date]],"[$-409]mmmm")</f>
        <v>October</v>
      </c>
      <c r="L519" s="1">
        <f>MATCH(K519, {"January";"February";"March";"April";"May";"June";"July";"August";"September";"October";"November";"December"}, 0)</f>
        <v>10</v>
      </c>
      <c r="M519" s="1" t="str" cm="1">
        <f t="array" ref="M519">IF(patients[[#This Row],[length_of_stay]]&gt;patients!$N$2:$N$2,"Over average","Less than average")</f>
        <v>Over average</v>
      </c>
    </row>
    <row r="520" spans="2:13" x14ac:dyDescent="0.25">
      <c r="B520" s="1" t="s">
        <v>1045</v>
      </c>
      <c r="C520" s="1" t="s">
        <v>1046</v>
      </c>
      <c r="D520">
        <v>46</v>
      </c>
      <c r="E520" s="2">
        <v>45676</v>
      </c>
      <c r="F520" s="2">
        <v>45678</v>
      </c>
      <c r="G520" s="1" t="s">
        <v>14</v>
      </c>
      <c r="H520">
        <v>67</v>
      </c>
      <c r="I520" s="19">
        <f>patients[[#This Row],[departure_date]]-patients[[#This Row],[arrival_date]]</f>
        <v>2</v>
      </c>
      <c r="J520" t="str">
        <f>IF(patients[[#This Row],[age]] &lt; 18,"0-17",IF(patients[[#This Row],[age]] &lt; 40,"18-39",IF(patients[[#This Row],[age]] &lt; 65,"40-64","65+")))</f>
        <v>40-64</v>
      </c>
      <c r="K520" s="1" t="str">
        <f>TEXT(patients[[#This Row],[arrival_date]],"[$-409]mmmm")</f>
        <v>January</v>
      </c>
      <c r="L520" s="1">
        <f>MATCH(K520, {"January";"February";"March";"April";"May";"June";"July";"August";"September";"October";"November";"December"}, 0)</f>
        <v>1</v>
      </c>
      <c r="M520" s="1" t="str" cm="1">
        <f t="array" ref="M520">IF(patients[[#This Row],[length_of_stay]]&gt;patients!$N$2:$N$2,"Over average","Less than average")</f>
        <v>Less than average</v>
      </c>
    </row>
    <row r="521" spans="2:13" x14ac:dyDescent="0.25">
      <c r="B521" s="1" t="s">
        <v>1047</v>
      </c>
      <c r="C521" s="1" t="s">
        <v>1048</v>
      </c>
      <c r="D521">
        <v>25</v>
      </c>
      <c r="E521" s="2">
        <v>45984</v>
      </c>
      <c r="F521" s="2">
        <v>45998</v>
      </c>
      <c r="G521" s="1" t="s">
        <v>17</v>
      </c>
      <c r="H521">
        <v>66</v>
      </c>
      <c r="I521" s="19">
        <f>patients[[#This Row],[departure_date]]-patients[[#This Row],[arrival_date]]</f>
        <v>14</v>
      </c>
      <c r="J521" t="str">
        <f>IF(patients[[#This Row],[age]] &lt; 18,"0-17",IF(patients[[#This Row],[age]] &lt; 40,"18-39",IF(patients[[#This Row],[age]] &lt; 65,"40-64","65+")))</f>
        <v>18-39</v>
      </c>
      <c r="K521" s="1" t="str">
        <f>TEXT(patients[[#This Row],[arrival_date]],"[$-409]mmmm")</f>
        <v>November</v>
      </c>
      <c r="L521" s="1">
        <f>MATCH(K521, {"January";"February";"March";"April";"May";"June";"July";"August";"September";"October";"November";"December"}, 0)</f>
        <v>11</v>
      </c>
      <c r="M521" s="1" t="str" cm="1">
        <f t="array" ref="M521">IF(patients[[#This Row],[length_of_stay]]&gt;patients!$N$2:$N$2,"Over average","Less than average")</f>
        <v>Over average</v>
      </c>
    </row>
    <row r="522" spans="2:13" x14ac:dyDescent="0.25">
      <c r="B522" s="1" t="s">
        <v>1049</v>
      </c>
      <c r="C522" s="1" t="s">
        <v>1050</v>
      </c>
      <c r="D522">
        <v>66</v>
      </c>
      <c r="E522" s="2">
        <v>45949</v>
      </c>
      <c r="F522" s="2">
        <v>45958</v>
      </c>
      <c r="G522" s="1" t="s">
        <v>17</v>
      </c>
      <c r="H522">
        <v>96</v>
      </c>
      <c r="I522" s="19">
        <f>patients[[#This Row],[departure_date]]-patients[[#This Row],[arrival_date]]</f>
        <v>9</v>
      </c>
      <c r="J522" t="str">
        <f>IF(patients[[#This Row],[age]] &lt; 18,"0-17",IF(patients[[#This Row],[age]] &lt; 40,"18-39",IF(patients[[#This Row],[age]] &lt; 65,"40-64","65+")))</f>
        <v>65+</v>
      </c>
      <c r="K522" s="1" t="str">
        <f>TEXT(patients[[#This Row],[arrival_date]],"[$-409]mmmm")</f>
        <v>October</v>
      </c>
      <c r="L522" s="1">
        <f>MATCH(K522, {"January";"February";"March";"April";"May";"June";"July";"August";"September";"October";"November";"December"}, 0)</f>
        <v>10</v>
      </c>
      <c r="M522" s="1" t="str" cm="1">
        <f t="array" ref="M522">IF(patients[[#This Row],[length_of_stay]]&gt;patients!$N$2:$N$2,"Over average","Less than average")</f>
        <v>Over average</v>
      </c>
    </row>
    <row r="523" spans="2:13" x14ac:dyDescent="0.25">
      <c r="B523" s="1" t="s">
        <v>1051</v>
      </c>
      <c r="C523" s="1" t="s">
        <v>1052</v>
      </c>
      <c r="D523">
        <v>0</v>
      </c>
      <c r="E523" s="2">
        <v>45694</v>
      </c>
      <c r="F523" s="2">
        <v>45707</v>
      </c>
      <c r="G523" s="1" t="s">
        <v>14</v>
      </c>
      <c r="H523">
        <v>99</v>
      </c>
      <c r="I523" s="19">
        <f>patients[[#This Row],[departure_date]]-patients[[#This Row],[arrival_date]]</f>
        <v>13</v>
      </c>
      <c r="J523" t="str">
        <f>IF(patients[[#This Row],[age]] &lt; 18,"0-17",IF(patients[[#This Row],[age]] &lt; 40,"18-39",IF(patients[[#This Row],[age]] &lt; 65,"40-64","65+")))</f>
        <v>0-17</v>
      </c>
      <c r="K523" s="1" t="str">
        <f>TEXT(patients[[#This Row],[arrival_date]],"[$-409]mmmm")</f>
        <v>February</v>
      </c>
      <c r="L523" s="1">
        <f>MATCH(K523, {"January";"February";"March";"April";"May";"June";"July";"August";"September";"October";"November";"December"}, 0)</f>
        <v>2</v>
      </c>
      <c r="M523" s="1" t="str" cm="1">
        <f t="array" ref="M523">IF(patients[[#This Row],[length_of_stay]]&gt;patients!$N$2:$N$2,"Over average","Less than average")</f>
        <v>Over average</v>
      </c>
    </row>
    <row r="524" spans="2:13" x14ac:dyDescent="0.25">
      <c r="B524" s="1" t="s">
        <v>1053</v>
      </c>
      <c r="C524" s="1" t="s">
        <v>1054</v>
      </c>
      <c r="D524">
        <v>7</v>
      </c>
      <c r="E524" s="2">
        <v>45845</v>
      </c>
      <c r="F524" s="2">
        <v>45854</v>
      </c>
      <c r="G524" s="1" t="s">
        <v>17</v>
      </c>
      <c r="H524">
        <v>60</v>
      </c>
      <c r="I524" s="19">
        <f>patients[[#This Row],[departure_date]]-patients[[#This Row],[arrival_date]]</f>
        <v>9</v>
      </c>
      <c r="J524" t="str">
        <f>IF(patients[[#This Row],[age]] &lt; 18,"0-17",IF(patients[[#This Row],[age]] &lt; 40,"18-39",IF(patients[[#This Row],[age]] &lt; 65,"40-64","65+")))</f>
        <v>0-17</v>
      </c>
      <c r="K524" s="1" t="str">
        <f>TEXT(patients[[#This Row],[arrival_date]],"[$-409]mmmm")</f>
        <v>July</v>
      </c>
      <c r="L524" s="1">
        <f>MATCH(K524, {"January";"February";"March";"April";"May";"June";"July";"August";"September";"October";"November";"December"}, 0)</f>
        <v>7</v>
      </c>
      <c r="M524" s="1" t="str" cm="1">
        <f t="array" ref="M524">IF(patients[[#This Row],[length_of_stay]]&gt;patients!$N$2:$N$2,"Over average","Less than average")</f>
        <v>Over average</v>
      </c>
    </row>
    <row r="525" spans="2:13" x14ac:dyDescent="0.25">
      <c r="B525" s="1" t="s">
        <v>1055</v>
      </c>
      <c r="C525" s="1" t="s">
        <v>1056</v>
      </c>
      <c r="D525">
        <v>35</v>
      </c>
      <c r="E525" s="2">
        <v>45851</v>
      </c>
      <c r="F525" s="2">
        <v>45859</v>
      </c>
      <c r="G525" s="1" t="s">
        <v>14</v>
      </c>
      <c r="H525">
        <v>82</v>
      </c>
      <c r="I525" s="19">
        <f>patients[[#This Row],[departure_date]]-patients[[#This Row],[arrival_date]]</f>
        <v>8</v>
      </c>
      <c r="J525" t="str">
        <f>IF(patients[[#This Row],[age]] &lt; 18,"0-17",IF(patients[[#This Row],[age]] &lt; 40,"18-39",IF(patients[[#This Row],[age]] &lt; 65,"40-64","65+")))</f>
        <v>18-39</v>
      </c>
      <c r="K525" s="1" t="str">
        <f>TEXT(patients[[#This Row],[arrival_date]],"[$-409]mmmm")</f>
        <v>July</v>
      </c>
      <c r="L525" s="1">
        <f>MATCH(K525, {"January";"February";"March";"April";"May";"June";"July";"August";"September";"October";"November";"December"}, 0)</f>
        <v>7</v>
      </c>
      <c r="M525" s="1" t="str" cm="1">
        <f t="array" ref="M525">IF(patients[[#This Row],[length_of_stay]]&gt;patients!$N$2:$N$2,"Over average","Less than average")</f>
        <v>Over average</v>
      </c>
    </row>
    <row r="526" spans="2:13" x14ac:dyDescent="0.25">
      <c r="B526" s="1" t="s">
        <v>1057</v>
      </c>
      <c r="C526" s="1" t="s">
        <v>1058</v>
      </c>
      <c r="D526">
        <v>8</v>
      </c>
      <c r="E526" s="2">
        <v>45917</v>
      </c>
      <c r="F526" s="2">
        <v>45931</v>
      </c>
      <c r="G526" s="1" t="s">
        <v>9</v>
      </c>
      <c r="H526">
        <v>90</v>
      </c>
      <c r="I526" s="19">
        <f>patients[[#This Row],[departure_date]]-patients[[#This Row],[arrival_date]]</f>
        <v>14</v>
      </c>
      <c r="J526" t="str">
        <f>IF(patients[[#This Row],[age]] &lt; 18,"0-17",IF(patients[[#This Row],[age]] &lt; 40,"18-39",IF(patients[[#This Row],[age]] &lt; 65,"40-64","65+")))</f>
        <v>0-17</v>
      </c>
      <c r="K526" s="1" t="str">
        <f>TEXT(patients[[#This Row],[arrival_date]],"[$-409]mmmm")</f>
        <v>September</v>
      </c>
      <c r="L526" s="1">
        <f>MATCH(K526, {"January";"February";"March";"April";"May";"June";"July";"August";"September";"October";"November";"December"}, 0)</f>
        <v>9</v>
      </c>
      <c r="M526" s="1" t="str" cm="1">
        <f t="array" ref="M526">IF(patients[[#This Row],[length_of_stay]]&gt;patients!$N$2:$N$2,"Over average","Less than average")</f>
        <v>Over average</v>
      </c>
    </row>
    <row r="527" spans="2:13" x14ac:dyDescent="0.25">
      <c r="B527" s="1" t="s">
        <v>1059</v>
      </c>
      <c r="C527" s="1" t="s">
        <v>1060</v>
      </c>
      <c r="D527">
        <v>74</v>
      </c>
      <c r="E527" s="2">
        <v>45729</v>
      </c>
      <c r="F527" s="2">
        <v>45732</v>
      </c>
      <c r="G527" s="1" t="s">
        <v>14</v>
      </c>
      <c r="H527">
        <v>73</v>
      </c>
      <c r="I527" s="19">
        <f>patients[[#This Row],[departure_date]]-patients[[#This Row],[arrival_date]]</f>
        <v>3</v>
      </c>
      <c r="J527" t="str">
        <f>IF(patients[[#This Row],[age]] &lt; 18,"0-17",IF(patients[[#This Row],[age]] &lt; 40,"18-39",IF(patients[[#This Row],[age]] &lt; 65,"40-64","65+")))</f>
        <v>65+</v>
      </c>
      <c r="K527" s="1" t="str">
        <f>TEXT(patients[[#This Row],[arrival_date]],"[$-409]mmmm")</f>
        <v>March</v>
      </c>
      <c r="L527" s="1">
        <f>MATCH(K527, {"January";"February";"March";"April";"May";"June";"July";"August";"September";"October";"November";"December"}, 0)</f>
        <v>3</v>
      </c>
      <c r="M527" s="1" t="str" cm="1">
        <f t="array" ref="M527">IF(patients[[#This Row],[length_of_stay]]&gt;patients!$N$2:$N$2,"Over average","Less than average")</f>
        <v>Less than average</v>
      </c>
    </row>
    <row r="528" spans="2:13" x14ac:dyDescent="0.25">
      <c r="B528" s="1" t="s">
        <v>1061</v>
      </c>
      <c r="C528" s="1" t="s">
        <v>1062</v>
      </c>
      <c r="D528">
        <v>59</v>
      </c>
      <c r="E528" s="2">
        <v>45830</v>
      </c>
      <c r="F528" s="2">
        <v>45832</v>
      </c>
      <c r="G528" s="1" t="s">
        <v>17</v>
      </c>
      <c r="H528">
        <v>78</v>
      </c>
      <c r="I528" s="19">
        <f>patients[[#This Row],[departure_date]]-patients[[#This Row],[arrival_date]]</f>
        <v>2</v>
      </c>
      <c r="J528" t="str">
        <f>IF(patients[[#This Row],[age]] &lt; 18,"0-17",IF(patients[[#This Row],[age]] &lt; 40,"18-39",IF(patients[[#This Row],[age]] &lt; 65,"40-64","65+")))</f>
        <v>40-64</v>
      </c>
      <c r="K528" s="1" t="str">
        <f>TEXT(patients[[#This Row],[arrival_date]],"[$-409]mmmm")</f>
        <v>June</v>
      </c>
      <c r="L528" s="1">
        <f>MATCH(K528, {"January";"February";"March";"April";"May";"June";"July";"August";"September";"October";"November";"December"}, 0)</f>
        <v>6</v>
      </c>
      <c r="M528" s="1" t="str" cm="1">
        <f t="array" ref="M528">IF(patients[[#This Row],[length_of_stay]]&gt;patients!$N$2:$N$2,"Over average","Less than average")</f>
        <v>Less than average</v>
      </c>
    </row>
    <row r="529" spans="2:13" x14ac:dyDescent="0.25">
      <c r="B529" s="1" t="s">
        <v>1063</v>
      </c>
      <c r="C529" s="1" t="s">
        <v>1064</v>
      </c>
      <c r="D529">
        <v>15</v>
      </c>
      <c r="E529" s="2">
        <v>45802</v>
      </c>
      <c r="F529" s="2">
        <v>45809</v>
      </c>
      <c r="G529" s="1" t="s">
        <v>9</v>
      </c>
      <c r="H529">
        <v>93</v>
      </c>
      <c r="I529" s="19">
        <f>patients[[#This Row],[departure_date]]-patients[[#This Row],[arrival_date]]</f>
        <v>7</v>
      </c>
      <c r="J529" t="str">
        <f>IF(patients[[#This Row],[age]] &lt; 18,"0-17",IF(patients[[#This Row],[age]] &lt; 40,"18-39",IF(patients[[#This Row],[age]] &lt; 65,"40-64","65+")))</f>
        <v>0-17</v>
      </c>
      <c r="K529" s="1" t="str">
        <f>TEXT(patients[[#This Row],[arrival_date]],"[$-409]mmmm")</f>
        <v>May</v>
      </c>
      <c r="L529" s="1">
        <f>MATCH(K529, {"January";"February";"March";"April";"May";"June";"July";"August";"September";"October";"November";"December"}, 0)</f>
        <v>5</v>
      </c>
      <c r="M529" s="1" t="str" cm="1">
        <f t="array" ref="M529">IF(patients[[#This Row],[length_of_stay]]&gt;patients!$N$2:$N$2,"Over average","Less than average")</f>
        <v>Less than average</v>
      </c>
    </row>
    <row r="530" spans="2:13" x14ac:dyDescent="0.25">
      <c r="B530" s="1" t="s">
        <v>1065</v>
      </c>
      <c r="C530" s="1" t="s">
        <v>1066</v>
      </c>
      <c r="D530">
        <v>15</v>
      </c>
      <c r="E530" s="2">
        <v>45845</v>
      </c>
      <c r="F530" s="2">
        <v>45847</v>
      </c>
      <c r="G530" s="1" t="s">
        <v>9</v>
      </c>
      <c r="H530">
        <v>61</v>
      </c>
      <c r="I530" s="19">
        <f>patients[[#This Row],[departure_date]]-patients[[#This Row],[arrival_date]]</f>
        <v>2</v>
      </c>
      <c r="J530" t="str">
        <f>IF(patients[[#This Row],[age]] &lt; 18,"0-17",IF(patients[[#This Row],[age]] &lt; 40,"18-39",IF(patients[[#This Row],[age]] &lt; 65,"40-64","65+")))</f>
        <v>0-17</v>
      </c>
      <c r="K530" s="1" t="str">
        <f>TEXT(patients[[#This Row],[arrival_date]],"[$-409]mmmm")</f>
        <v>July</v>
      </c>
      <c r="L530" s="1">
        <f>MATCH(K530, {"January";"February";"March";"April";"May";"June";"July";"August";"September";"October";"November";"December"}, 0)</f>
        <v>7</v>
      </c>
      <c r="M530" s="1" t="str" cm="1">
        <f t="array" ref="M530">IF(patients[[#This Row],[length_of_stay]]&gt;patients!$N$2:$N$2,"Over average","Less than average")</f>
        <v>Less than average</v>
      </c>
    </row>
    <row r="531" spans="2:13" x14ac:dyDescent="0.25">
      <c r="B531" s="1" t="s">
        <v>1067</v>
      </c>
      <c r="C531" s="1" t="s">
        <v>1068</v>
      </c>
      <c r="D531">
        <v>89</v>
      </c>
      <c r="E531" s="2">
        <v>45841</v>
      </c>
      <c r="F531" s="2">
        <v>45853</v>
      </c>
      <c r="G531" s="1" t="s">
        <v>17</v>
      </c>
      <c r="H531">
        <v>93</v>
      </c>
      <c r="I531" s="19">
        <f>patients[[#This Row],[departure_date]]-patients[[#This Row],[arrival_date]]</f>
        <v>12</v>
      </c>
      <c r="J531" t="str">
        <f>IF(patients[[#This Row],[age]] &lt; 18,"0-17",IF(patients[[#This Row],[age]] &lt; 40,"18-39",IF(patients[[#This Row],[age]] &lt; 65,"40-64","65+")))</f>
        <v>65+</v>
      </c>
      <c r="K531" s="1" t="str">
        <f>TEXT(patients[[#This Row],[arrival_date]],"[$-409]mmmm")</f>
        <v>July</v>
      </c>
      <c r="L531" s="1">
        <f>MATCH(K531, {"January";"February";"March";"April";"May";"June";"July";"August";"September";"October";"November";"December"}, 0)</f>
        <v>7</v>
      </c>
      <c r="M531" s="1" t="str" cm="1">
        <f t="array" ref="M531">IF(patients[[#This Row],[length_of_stay]]&gt;patients!$N$2:$N$2,"Over average","Less than average")</f>
        <v>Over average</v>
      </c>
    </row>
    <row r="532" spans="2:13" x14ac:dyDescent="0.25">
      <c r="B532" s="1" t="s">
        <v>1069</v>
      </c>
      <c r="C532" s="1" t="s">
        <v>1070</v>
      </c>
      <c r="D532">
        <v>38</v>
      </c>
      <c r="E532" s="2">
        <v>45872</v>
      </c>
      <c r="F532" s="2">
        <v>45886</v>
      </c>
      <c r="G532" s="1" t="s">
        <v>14</v>
      </c>
      <c r="H532">
        <v>86</v>
      </c>
      <c r="I532" s="19">
        <f>patients[[#This Row],[departure_date]]-patients[[#This Row],[arrival_date]]</f>
        <v>14</v>
      </c>
      <c r="J532" t="str">
        <f>IF(patients[[#This Row],[age]] &lt; 18,"0-17",IF(patients[[#This Row],[age]] &lt; 40,"18-39",IF(patients[[#This Row],[age]] &lt; 65,"40-64","65+")))</f>
        <v>18-39</v>
      </c>
      <c r="K532" s="1" t="str">
        <f>TEXT(patients[[#This Row],[arrival_date]],"[$-409]mmmm")</f>
        <v>August</v>
      </c>
      <c r="L532" s="1">
        <f>MATCH(K532, {"January";"February";"March";"April";"May";"June";"July";"August";"September";"October";"November";"December"}, 0)</f>
        <v>8</v>
      </c>
      <c r="M532" s="1" t="str" cm="1">
        <f t="array" ref="M532">IF(patients[[#This Row],[length_of_stay]]&gt;patients!$N$2:$N$2,"Over average","Less than average")</f>
        <v>Over average</v>
      </c>
    </row>
    <row r="533" spans="2:13" x14ac:dyDescent="0.25">
      <c r="B533" s="1" t="s">
        <v>1071</v>
      </c>
      <c r="C533" s="1" t="s">
        <v>1072</v>
      </c>
      <c r="D533">
        <v>52</v>
      </c>
      <c r="E533" s="2">
        <v>45978</v>
      </c>
      <c r="F533" s="2">
        <v>45979</v>
      </c>
      <c r="G533" s="1" t="s">
        <v>14</v>
      </c>
      <c r="H533">
        <v>89</v>
      </c>
      <c r="I533" s="19">
        <f>patients[[#This Row],[departure_date]]-patients[[#This Row],[arrival_date]]</f>
        <v>1</v>
      </c>
      <c r="J533" t="str">
        <f>IF(patients[[#This Row],[age]] &lt; 18,"0-17",IF(patients[[#This Row],[age]] &lt; 40,"18-39",IF(patients[[#This Row],[age]] &lt; 65,"40-64","65+")))</f>
        <v>40-64</v>
      </c>
      <c r="K533" s="1" t="str">
        <f>TEXT(patients[[#This Row],[arrival_date]],"[$-409]mmmm")</f>
        <v>November</v>
      </c>
      <c r="L533" s="1">
        <f>MATCH(K533, {"January";"February";"March";"April";"May";"June";"July";"August";"September";"October";"November";"December"}, 0)</f>
        <v>11</v>
      </c>
      <c r="M533" s="1" t="str" cm="1">
        <f t="array" ref="M533">IF(patients[[#This Row],[length_of_stay]]&gt;patients!$N$2:$N$2,"Over average","Less than average")</f>
        <v>Less than average</v>
      </c>
    </row>
    <row r="534" spans="2:13" x14ac:dyDescent="0.25">
      <c r="B534" s="1" t="s">
        <v>1073</v>
      </c>
      <c r="C534" s="1" t="s">
        <v>1074</v>
      </c>
      <c r="D534">
        <v>52</v>
      </c>
      <c r="E534" s="2">
        <v>45678</v>
      </c>
      <c r="F534" s="2">
        <v>45681</v>
      </c>
      <c r="G534" s="1" t="s">
        <v>17</v>
      </c>
      <c r="H534">
        <v>78</v>
      </c>
      <c r="I534" s="19">
        <f>patients[[#This Row],[departure_date]]-patients[[#This Row],[arrival_date]]</f>
        <v>3</v>
      </c>
      <c r="J534" t="str">
        <f>IF(patients[[#This Row],[age]] &lt; 18,"0-17",IF(patients[[#This Row],[age]] &lt; 40,"18-39",IF(patients[[#This Row],[age]] &lt; 65,"40-64","65+")))</f>
        <v>40-64</v>
      </c>
      <c r="K534" s="1" t="str">
        <f>TEXT(patients[[#This Row],[arrival_date]],"[$-409]mmmm")</f>
        <v>January</v>
      </c>
      <c r="L534" s="1">
        <f>MATCH(K534, {"January";"February";"March";"April";"May";"June";"July";"August";"September";"October";"November";"December"}, 0)</f>
        <v>1</v>
      </c>
      <c r="M534" s="1" t="str" cm="1">
        <f t="array" ref="M534">IF(patients[[#This Row],[length_of_stay]]&gt;patients!$N$2:$N$2,"Over average","Less than average")</f>
        <v>Less than average</v>
      </c>
    </row>
    <row r="535" spans="2:13" x14ac:dyDescent="0.25">
      <c r="B535" s="1" t="s">
        <v>1075</v>
      </c>
      <c r="C535" s="1" t="s">
        <v>1076</v>
      </c>
      <c r="D535">
        <v>56</v>
      </c>
      <c r="E535" s="2">
        <v>45871</v>
      </c>
      <c r="F535" s="2">
        <v>45872</v>
      </c>
      <c r="G535" s="1" t="s">
        <v>17</v>
      </c>
      <c r="H535">
        <v>82</v>
      </c>
      <c r="I535" s="19">
        <f>patients[[#This Row],[departure_date]]-patients[[#This Row],[arrival_date]]</f>
        <v>1</v>
      </c>
      <c r="J535" t="str">
        <f>IF(patients[[#This Row],[age]] &lt; 18,"0-17",IF(patients[[#This Row],[age]] &lt; 40,"18-39",IF(patients[[#This Row],[age]] &lt; 65,"40-64","65+")))</f>
        <v>40-64</v>
      </c>
      <c r="K535" s="1" t="str">
        <f>TEXT(patients[[#This Row],[arrival_date]],"[$-409]mmmm")</f>
        <v>August</v>
      </c>
      <c r="L535" s="1">
        <f>MATCH(K535, {"January";"February";"March";"April";"May";"June";"July";"August";"September";"October";"November";"December"}, 0)</f>
        <v>8</v>
      </c>
      <c r="M535" s="1" t="str" cm="1">
        <f t="array" ref="M535">IF(patients[[#This Row],[length_of_stay]]&gt;patients!$N$2:$N$2,"Over average","Less than average")</f>
        <v>Less than average</v>
      </c>
    </row>
    <row r="536" spans="2:13" x14ac:dyDescent="0.25">
      <c r="B536" s="1" t="s">
        <v>1077</v>
      </c>
      <c r="C536" s="1" t="s">
        <v>1078</v>
      </c>
      <c r="D536">
        <v>31</v>
      </c>
      <c r="E536" s="2">
        <v>45731</v>
      </c>
      <c r="F536" s="2">
        <v>45741</v>
      </c>
      <c r="G536" s="1" t="s">
        <v>9</v>
      </c>
      <c r="H536">
        <v>95</v>
      </c>
      <c r="I536" s="19">
        <f>patients[[#This Row],[departure_date]]-patients[[#This Row],[arrival_date]]</f>
        <v>10</v>
      </c>
      <c r="J536" t="str">
        <f>IF(patients[[#This Row],[age]] &lt; 18,"0-17",IF(patients[[#This Row],[age]] &lt; 40,"18-39",IF(patients[[#This Row],[age]] &lt; 65,"40-64","65+")))</f>
        <v>18-39</v>
      </c>
      <c r="K536" s="1" t="str">
        <f>TEXT(patients[[#This Row],[arrival_date]],"[$-409]mmmm")</f>
        <v>March</v>
      </c>
      <c r="L536" s="1">
        <f>MATCH(K536, {"January";"February";"March";"April";"May";"June";"July";"August";"September";"October";"November";"December"}, 0)</f>
        <v>3</v>
      </c>
      <c r="M536" s="1" t="str" cm="1">
        <f t="array" ref="M536">IF(patients[[#This Row],[length_of_stay]]&gt;patients!$N$2:$N$2,"Over average","Less than average")</f>
        <v>Over average</v>
      </c>
    </row>
    <row r="537" spans="2:13" x14ac:dyDescent="0.25">
      <c r="B537" s="1" t="s">
        <v>1079</v>
      </c>
      <c r="C537" s="1" t="s">
        <v>1080</v>
      </c>
      <c r="D537">
        <v>71</v>
      </c>
      <c r="E537" s="2">
        <v>45709</v>
      </c>
      <c r="F537" s="2">
        <v>45713</v>
      </c>
      <c r="G537" s="1" t="s">
        <v>9</v>
      </c>
      <c r="H537">
        <v>91</v>
      </c>
      <c r="I537" s="19">
        <f>patients[[#This Row],[departure_date]]-patients[[#This Row],[arrival_date]]</f>
        <v>4</v>
      </c>
      <c r="J537" t="str">
        <f>IF(patients[[#This Row],[age]] &lt; 18,"0-17",IF(patients[[#This Row],[age]] &lt; 40,"18-39",IF(patients[[#This Row],[age]] &lt; 65,"40-64","65+")))</f>
        <v>65+</v>
      </c>
      <c r="K537" s="1" t="str">
        <f>TEXT(patients[[#This Row],[arrival_date]],"[$-409]mmmm")</f>
        <v>February</v>
      </c>
      <c r="L537" s="1">
        <f>MATCH(K537, {"January";"February";"March";"April";"May";"June";"July";"August";"September";"October";"November";"December"}, 0)</f>
        <v>2</v>
      </c>
      <c r="M537" s="1" t="str" cm="1">
        <f t="array" ref="M537">IF(patients[[#This Row],[length_of_stay]]&gt;patients!$N$2:$N$2,"Over average","Less than average")</f>
        <v>Less than average</v>
      </c>
    </row>
    <row r="538" spans="2:13" x14ac:dyDescent="0.25">
      <c r="B538" s="1" t="s">
        <v>1081</v>
      </c>
      <c r="C538" s="1" t="s">
        <v>1082</v>
      </c>
      <c r="D538">
        <v>13</v>
      </c>
      <c r="E538" s="2">
        <v>45710</v>
      </c>
      <c r="F538" s="2">
        <v>45718</v>
      </c>
      <c r="G538" s="1" t="s">
        <v>9</v>
      </c>
      <c r="H538">
        <v>74</v>
      </c>
      <c r="I538" s="19">
        <f>patients[[#This Row],[departure_date]]-patients[[#This Row],[arrival_date]]</f>
        <v>8</v>
      </c>
      <c r="J538" t="str">
        <f>IF(patients[[#This Row],[age]] &lt; 18,"0-17",IF(patients[[#This Row],[age]] &lt; 40,"18-39",IF(patients[[#This Row],[age]] &lt; 65,"40-64","65+")))</f>
        <v>0-17</v>
      </c>
      <c r="K538" s="1" t="str">
        <f>TEXT(patients[[#This Row],[arrival_date]],"[$-409]mmmm")</f>
        <v>February</v>
      </c>
      <c r="L538" s="1">
        <f>MATCH(K538, {"January";"February";"March";"April";"May";"June";"July";"August";"September";"October";"November";"December"}, 0)</f>
        <v>2</v>
      </c>
      <c r="M538" s="1" t="str" cm="1">
        <f t="array" ref="M538">IF(patients[[#This Row],[length_of_stay]]&gt;patients!$N$2:$N$2,"Over average","Less than average")</f>
        <v>Over average</v>
      </c>
    </row>
    <row r="539" spans="2:13" x14ac:dyDescent="0.25">
      <c r="B539" s="1" t="s">
        <v>1083</v>
      </c>
      <c r="C539" s="1" t="s">
        <v>1084</v>
      </c>
      <c r="D539">
        <v>21</v>
      </c>
      <c r="E539" s="2">
        <v>45848</v>
      </c>
      <c r="F539" s="2">
        <v>45852</v>
      </c>
      <c r="G539" s="1" t="s">
        <v>9</v>
      </c>
      <c r="H539">
        <v>72</v>
      </c>
      <c r="I539" s="19">
        <f>patients[[#This Row],[departure_date]]-patients[[#This Row],[arrival_date]]</f>
        <v>4</v>
      </c>
      <c r="J539" t="str">
        <f>IF(patients[[#This Row],[age]] &lt; 18,"0-17",IF(patients[[#This Row],[age]] &lt; 40,"18-39",IF(patients[[#This Row],[age]] &lt; 65,"40-64","65+")))</f>
        <v>18-39</v>
      </c>
      <c r="K539" s="1" t="str">
        <f>TEXT(patients[[#This Row],[arrival_date]],"[$-409]mmmm")</f>
        <v>July</v>
      </c>
      <c r="L539" s="1">
        <f>MATCH(K539, {"January";"February";"March";"April";"May";"June";"July";"August";"September";"October";"November";"December"}, 0)</f>
        <v>7</v>
      </c>
      <c r="M539" s="1" t="str" cm="1">
        <f t="array" ref="M539">IF(patients[[#This Row],[length_of_stay]]&gt;patients!$N$2:$N$2,"Over average","Less than average")</f>
        <v>Less than average</v>
      </c>
    </row>
    <row r="540" spans="2:13" x14ac:dyDescent="0.25">
      <c r="B540" s="1" t="s">
        <v>1085</v>
      </c>
      <c r="C540" s="1" t="s">
        <v>1086</v>
      </c>
      <c r="D540">
        <v>58</v>
      </c>
      <c r="E540" s="2">
        <v>45921</v>
      </c>
      <c r="F540" s="2">
        <v>45923</v>
      </c>
      <c r="G540" s="1" t="s">
        <v>14</v>
      </c>
      <c r="H540">
        <v>71</v>
      </c>
      <c r="I540" s="19">
        <f>patients[[#This Row],[departure_date]]-patients[[#This Row],[arrival_date]]</f>
        <v>2</v>
      </c>
      <c r="J540" t="str">
        <f>IF(patients[[#This Row],[age]] &lt; 18,"0-17",IF(patients[[#This Row],[age]] &lt; 40,"18-39",IF(patients[[#This Row],[age]] &lt; 65,"40-64","65+")))</f>
        <v>40-64</v>
      </c>
      <c r="K540" s="1" t="str">
        <f>TEXT(patients[[#This Row],[arrival_date]],"[$-409]mmmm")</f>
        <v>September</v>
      </c>
      <c r="L540" s="1">
        <f>MATCH(K540, {"January";"February";"March";"April";"May";"June";"July";"August";"September";"October";"November";"December"}, 0)</f>
        <v>9</v>
      </c>
      <c r="M540" s="1" t="str" cm="1">
        <f t="array" ref="M540">IF(patients[[#This Row],[length_of_stay]]&gt;patients!$N$2:$N$2,"Over average","Less than average")</f>
        <v>Less than average</v>
      </c>
    </row>
    <row r="541" spans="2:13" x14ac:dyDescent="0.25">
      <c r="B541" s="1" t="s">
        <v>1087</v>
      </c>
      <c r="C541" s="1" t="s">
        <v>1088</v>
      </c>
      <c r="D541">
        <v>30</v>
      </c>
      <c r="E541" s="2">
        <v>45947</v>
      </c>
      <c r="F541" s="2">
        <v>45949</v>
      </c>
      <c r="G541" s="1" t="s">
        <v>9</v>
      </c>
      <c r="H541">
        <v>93</v>
      </c>
      <c r="I541" s="19">
        <f>patients[[#This Row],[departure_date]]-patients[[#This Row],[arrival_date]]</f>
        <v>2</v>
      </c>
      <c r="J541" t="str">
        <f>IF(patients[[#This Row],[age]] &lt; 18,"0-17",IF(patients[[#This Row],[age]] &lt; 40,"18-39",IF(patients[[#This Row],[age]] &lt; 65,"40-64","65+")))</f>
        <v>18-39</v>
      </c>
      <c r="K541" s="1" t="str">
        <f>TEXT(patients[[#This Row],[arrival_date]],"[$-409]mmmm")</f>
        <v>October</v>
      </c>
      <c r="L541" s="1">
        <f>MATCH(K541, {"January";"February";"March";"April";"May";"June";"July";"August";"September";"October";"November";"December"}, 0)</f>
        <v>10</v>
      </c>
      <c r="M541" s="1" t="str" cm="1">
        <f t="array" ref="M541">IF(patients[[#This Row],[length_of_stay]]&gt;patients!$N$2:$N$2,"Over average","Less than average")</f>
        <v>Less than average</v>
      </c>
    </row>
    <row r="542" spans="2:13" x14ac:dyDescent="0.25">
      <c r="B542" s="1" t="s">
        <v>1089</v>
      </c>
      <c r="C542" s="1" t="s">
        <v>1090</v>
      </c>
      <c r="D542">
        <v>74</v>
      </c>
      <c r="E542" s="2">
        <v>45861</v>
      </c>
      <c r="F542" s="2">
        <v>45862</v>
      </c>
      <c r="G542" s="1" t="s">
        <v>17</v>
      </c>
      <c r="H542">
        <v>74</v>
      </c>
      <c r="I542" s="19">
        <f>patients[[#This Row],[departure_date]]-patients[[#This Row],[arrival_date]]</f>
        <v>1</v>
      </c>
      <c r="J542" t="str">
        <f>IF(patients[[#This Row],[age]] &lt; 18,"0-17",IF(patients[[#This Row],[age]] &lt; 40,"18-39",IF(patients[[#This Row],[age]] &lt; 65,"40-64","65+")))</f>
        <v>65+</v>
      </c>
      <c r="K542" s="1" t="str">
        <f>TEXT(patients[[#This Row],[arrival_date]],"[$-409]mmmm")</f>
        <v>July</v>
      </c>
      <c r="L542" s="1">
        <f>MATCH(K542, {"January";"February";"March";"April";"May";"June";"July";"August";"September";"October";"November";"December"}, 0)</f>
        <v>7</v>
      </c>
      <c r="M542" s="1" t="str" cm="1">
        <f t="array" ref="M542">IF(patients[[#This Row],[length_of_stay]]&gt;patients!$N$2:$N$2,"Over average","Less than average")</f>
        <v>Less than average</v>
      </c>
    </row>
    <row r="543" spans="2:13" x14ac:dyDescent="0.25">
      <c r="B543" s="1" t="s">
        <v>1091</v>
      </c>
      <c r="C543" s="1" t="s">
        <v>1092</v>
      </c>
      <c r="D543">
        <v>56</v>
      </c>
      <c r="E543" s="2">
        <v>45898</v>
      </c>
      <c r="F543" s="2">
        <v>45908</v>
      </c>
      <c r="G543" s="1" t="s">
        <v>14</v>
      </c>
      <c r="H543">
        <v>88</v>
      </c>
      <c r="I543" s="19">
        <f>patients[[#This Row],[departure_date]]-patients[[#This Row],[arrival_date]]</f>
        <v>10</v>
      </c>
      <c r="J543" t="str">
        <f>IF(patients[[#This Row],[age]] &lt; 18,"0-17",IF(patients[[#This Row],[age]] &lt; 40,"18-39",IF(patients[[#This Row],[age]] &lt; 65,"40-64","65+")))</f>
        <v>40-64</v>
      </c>
      <c r="K543" s="1" t="str">
        <f>TEXT(patients[[#This Row],[arrival_date]],"[$-409]mmmm")</f>
        <v>August</v>
      </c>
      <c r="L543" s="1">
        <f>MATCH(K543, {"January";"February";"March";"April";"May";"June";"July";"August";"September";"October";"November";"December"}, 0)</f>
        <v>8</v>
      </c>
      <c r="M543" s="1" t="str" cm="1">
        <f t="array" ref="M543">IF(patients[[#This Row],[length_of_stay]]&gt;patients!$N$2:$N$2,"Over average","Less than average")</f>
        <v>Over average</v>
      </c>
    </row>
    <row r="544" spans="2:13" x14ac:dyDescent="0.25">
      <c r="B544" s="1" t="s">
        <v>1093</v>
      </c>
      <c r="C544" s="1" t="s">
        <v>1094</v>
      </c>
      <c r="D544">
        <v>25</v>
      </c>
      <c r="E544" s="2">
        <v>45753</v>
      </c>
      <c r="F544" s="2">
        <v>45759</v>
      </c>
      <c r="G544" s="1" t="s">
        <v>9</v>
      </c>
      <c r="H544">
        <v>97</v>
      </c>
      <c r="I544" s="19">
        <f>patients[[#This Row],[departure_date]]-patients[[#This Row],[arrival_date]]</f>
        <v>6</v>
      </c>
      <c r="J544" t="str">
        <f>IF(patients[[#This Row],[age]] &lt; 18,"0-17",IF(patients[[#This Row],[age]] &lt; 40,"18-39",IF(patients[[#This Row],[age]] &lt; 65,"40-64","65+")))</f>
        <v>18-39</v>
      </c>
      <c r="K544" s="1" t="str">
        <f>TEXT(patients[[#This Row],[arrival_date]],"[$-409]mmmm")</f>
        <v>April</v>
      </c>
      <c r="L544" s="1">
        <f>MATCH(K544, {"January";"February";"March";"April";"May";"June";"July";"August";"September";"October";"November";"December"}, 0)</f>
        <v>4</v>
      </c>
      <c r="M544" s="1" t="str" cm="1">
        <f t="array" ref="M544">IF(patients[[#This Row],[length_of_stay]]&gt;patients!$N$2:$N$2,"Over average","Less than average")</f>
        <v>Less than average</v>
      </c>
    </row>
    <row r="545" spans="2:13" x14ac:dyDescent="0.25">
      <c r="B545" s="1" t="s">
        <v>1095</v>
      </c>
      <c r="C545" s="1" t="s">
        <v>1096</v>
      </c>
      <c r="D545">
        <v>80</v>
      </c>
      <c r="E545" s="2">
        <v>45745</v>
      </c>
      <c r="F545" s="2">
        <v>45747</v>
      </c>
      <c r="G545" s="1" t="s">
        <v>14</v>
      </c>
      <c r="H545">
        <v>67</v>
      </c>
      <c r="I545" s="19">
        <f>patients[[#This Row],[departure_date]]-patients[[#This Row],[arrival_date]]</f>
        <v>2</v>
      </c>
      <c r="J545" t="str">
        <f>IF(patients[[#This Row],[age]] &lt; 18,"0-17",IF(patients[[#This Row],[age]] &lt; 40,"18-39",IF(patients[[#This Row],[age]] &lt; 65,"40-64","65+")))</f>
        <v>65+</v>
      </c>
      <c r="K545" s="1" t="str">
        <f>TEXT(patients[[#This Row],[arrival_date]],"[$-409]mmmm")</f>
        <v>March</v>
      </c>
      <c r="L545" s="1">
        <f>MATCH(K545, {"January";"February";"March";"April";"May";"June";"July";"August";"September";"October";"November";"December"}, 0)</f>
        <v>3</v>
      </c>
      <c r="M545" s="1" t="str" cm="1">
        <f t="array" ref="M545">IF(patients[[#This Row],[length_of_stay]]&gt;patients!$N$2:$N$2,"Over average","Less than average")</f>
        <v>Less than average</v>
      </c>
    </row>
    <row r="546" spans="2:13" x14ac:dyDescent="0.25">
      <c r="B546" s="1" t="s">
        <v>1097</v>
      </c>
      <c r="C546" s="1" t="s">
        <v>1098</v>
      </c>
      <c r="D546">
        <v>40</v>
      </c>
      <c r="E546" s="2">
        <v>45982</v>
      </c>
      <c r="F546" s="2">
        <v>45994</v>
      </c>
      <c r="G546" s="1" t="s">
        <v>9</v>
      </c>
      <c r="H546">
        <v>88</v>
      </c>
      <c r="I546" s="19">
        <f>patients[[#This Row],[departure_date]]-patients[[#This Row],[arrival_date]]</f>
        <v>12</v>
      </c>
      <c r="J546" t="str">
        <f>IF(patients[[#This Row],[age]] &lt; 18,"0-17",IF(patients[[#This Row],[age]] &lt; 40,"18-39",IF(patients[[#This Row],[age]] &lt; 65,"40-64","65+")))</f>
        <v>40-64</v>
      </c>
      <c r="K546" s="1" t="str">
        <f>TEXT(patients[[#This Row],[arrival_date]],"[$-409]mmmm")</f>
        <v>November</v>
      </c>
      <c r="L546" s="1">
        <f>MATCH(K546, {"January";"February";"March";"April";"May";"June";"July";"August";"September";"October";"November";"December"}, 0)</f>
        <v>11</v>
      </c>
      <c r="M546" s="1" t="str" cm="1">
        <f t="array" ref="M546">IF(patients[[#This Row],[length_of_stay]]&gt;patients!$N$2:$N$2,"Over average","Less than average")</f>
        <v>Over average</v>
      </c>
    </row>
    <row r="547" spans="2:13" x14ac:dyDescent="0.25">
      <c r="B547" s="1" t="s">
        <v>1099</v>
      </c>
      <c r="C547" s="1" t="s">
        <v>1100</v>
      </c>
      <c r="D547">
        <v>27</v>
      </c>
      <c r="E547" s="2">
        <v>45778</v>
      </c>
      <c r="F547" s="2">
        <v>45779</v>
      </c>
      <c r="G547" s="1" t="s">
        <v>14</v>
      </c>
      <c r="H547">
        <v>78</v>
      </c>
      <c r="I547" s="19">
        <f>patients[[#This Row],[departure_date]]-patients[[#This Row],[arrival_date]]</f>
        <v>1</v>
      </c>
      <c r="J547" t="str">
        <f>IF(patients[[#This Row],[age]] &lt; 18,"0-17",IF(patients[[#This Row],[age]] &lt; 40,"18-39",IF(patients[[#This Row],[age]] &lt; 65,"40-64","65+")))</f>
        <v>18-39</v>
      </c>
      <c r="K547" s="1" t="str">
        <f>TEXT(patients[[#This Row],[arrival_date]],"[$-409]mmmm")</f>
        <v>May</v>
      </c>
      <c r="L547" s="1">
        <f>MATCH(K547, {"January";"February";"March";"April";"May";"June";"July";"August";"September";"October";"November";"December"}, 0)</f>
        <v>5</v>
      </c>
      <c r="M547" s="1" t="str" cm="1">
        <f t="array" ref="M547">IF(patients[[#This Row],[length_of_stay]]&gt;patients!$N$2:$N$2,"Over average","Less than average")</f>
        <v>Less than average</v>
      </c>
    </row>
    <row r="548" spans="2:13" x14ac:dyDescent="0.25">
      <c r="B548" s="1" t="s">
        <v>1101</v>
      </c>
      <c r="C548" s="1" t="s">
        <v>1102</v>
      </c>
      <c r="D548">
        <v>8</v>
      </c>
      <c r="E548" s="2">
        <v>45819</v>
      </c>
      <c r="F548" s="2">
        <v>45831</v>
      </c>
      <c r="G548" s="1" t="s">
        <v>14</v>
      </c>
      <c r="H548">
        <v>63</v>
      </c>
      <c r="I548" s="19">
        <f>patients[[#This Row],[departure_date]]-patients[[#This Row],[arrival_date]]</f>
        <v>12</v>
      </c>
      <c r="J548" t="str">
        <f>IF(patients[[#This Row],[age]] &lt; 18,"0-17",IF(patients[[#This Row],[age]] &lt; 40,"18-39",IF(patients[[#This Row],[age]] &lt; 65,"40-64","65+")))</f>
        <v>0-17</v>
      </c>
      <c r="K548" s="1" t="str">
        <f>TEXT(patients[[#This Row],[arrival_date]],"[$-409]mmmm")</f>
        <v>June</v>
      </c>
      <c r="L548" s="1">
        <f>MATCH(K548, {"January";"February";"March";"April";"May";"June";"July";"August";"September";"October";"November";"December"}, 0)</f>
        <v>6</v>
      </c>
      <c r="M548" s="1" t="str" cm="1">
        <f t="array" ref="M548">IF(patients[[#This Row],[length_of_stay]]&gt;patients!$N$2:$N$2,"Over average","Less than average")</f>
        <v>Over average</v>
      </c>
    </row>
    <row r="549" spans="2:13" x14ac:dyDescent="0.25">
      <c r="B549" s="1" t="s">
        <v>1103</v>
      </c>
      <c r="C549" s="1" t="s">
        <v>1104</v>
      </c>
      <c r="D549">
        <v>81</v>
      </c>
      <c r="E549" s="2">
        <v>45964</v>
      </c>
      <c r="F549" s="2">
        <v>45977</v>
      </c>
      <c r="G549" s="1" t="s">
        <v>14</v>
      </c>
      <c r="H549">
        <v>78</v>
      </c>
      <c r="I549" s="19">
        <f>patients[[#This Row],[departure_date]]-patients[[#This Row],[arrival_date]]</f>
        <v>13</v>
      </c>
      <c r="J549" t="str">
        <f>IF(patients[[#This Row],[age]] &lt; 18,"0-17",IF(patients[[#This Row],[age]] &lt; 40,"18-39",IF(patients[[#This Row],[age]] &lt; 65,"40-64","65+")))</f>
        <v>65+</v>
      </c>
      <c r="K549" s="1" t="str">
        <f>TEXT(patients[[#This Row],[arrival_date]],"[$-409]mmmm")</f>
        <v>November</v>
      </c>
      <c r="L549" s="1">
        <f>MATCH(K549, {"January";"February";"March";"April";"May";"June";"July";"August";"September";"October";"November";"December"}, 0)</f>
        <v>11</v>
      </c>
      <c r="M549" s="1" t="str" cm="1">
        <f t="array" ref="M549">IF(patients[[#This Row],[length_of_stay]]&gt;patients!$N$2:$N$2,"Over average","Less than average")</f>
        <v>Over average</v>
      </c>
    </row>
    <row r="550" spans="2:13" x14ac:dyDescent="0.25">
      <c r="B550" s="1" t="s">
        <v>1105</v>
      </c>
      <c r="C550" s="1" t="s">
        <v>1106</v>
      </c>
      <c r="D550">
        <v>48</v>
      </c>
      <c r="E550" s="2">
        <v>45769</v>
      </c>
      <c r="F550" s="2">
        <v>45777</v>
      </c>
      <c r="G550" s="1" t="s">
        <v>9</v>
      </c>
      <c r="H550">
        <v>71</v>
      </c>
      <c r="I550" s="19">
        <f>patients[[#This Row],[departure_date]]-patients[[#This Row],[arrival_date]]</f>
        <v>8</v>
      </c>
      <c r="J550" t="str">
        <f>IF(patients[[#This Row],[age]] &lt; 18,"0-17",IF(patients[[#This Row],[age]] &lt; 40,"18-39",IF(patients[[#This Row],[age]] &lt; 65,"40-64","65+")))</f>
        <v>40-64</v>
      </c>
      <c r="K550" s="1" t="str">
        <f>TEXT(patients[[#This Row],[arrival_date]],"[$-409]mmmm")</f>
        <v>April</v>
      </c>
      <c r="L550" s="1">
        <f>MATCH(K550, {"January";"February";"March";"April";"May";"June";"July";"August";"September";"October";"November";"December"}, 0)</f>
        <v>4</v>
      </c>
      <c r="M550" s="1" t="str" cm="1">
        <f t="array" ref="M550">IF(patients[[#This Row],[length_of_stay]]&gt;patients!$N$2:$N$2,"Over average","Less than average")</f>
        <v>Over average</v>
      </c>
    </row>
    <row r="551" spans="2:13" x14ac:dyDescent="0.25">
      <c r="B551" s="1" t="s">
        <v>1107</v>
      </c>
      <c r="C551" s="1" t="s">
        <v>1108</v>
      </c>
      <c r="D551">
        <v>50</v>
      </c>
      <c r="E551" s="2">
        <v>45843</v>
      </c>
      <c r="F551" s="2">
        <v>45850</v>
      </c>
      <c r="G551" s="1" t="s">
        <v>17</v>
      </c>
      <c r="H551">
        <v>85</v>
      </c>
      <c r="I551" s="19">
        <f>patients[[#This Row],[departure_date]]-patients[[#This Row],[arrival_date]]</f>
        <v>7</v>
      </c>
      <c r="J551" t="str">
        <f>IF(patients[[#This Row],[age]] &lt; 18,"0-17",IF(patients[[#This Row],[age]] &lt; 40,"18-39",IF(patients[[#This Row],[age]] &lt; 65,"40-64","65+")))</f>
        <v>40-64</v>
      </c>
      <c r="K551" s="1" t="str">
        <f>TEXT(patients[[#This Row],[arrival_date]],"[$-409]mmmm")</f>
        <v>July</v>
      </c>
      <c r="L551" s="1">
        <f>MATCH(K551, {"January";"February";"March";"April";"May";"June";"July";"August";"September";"October";"November";"December"}, 0)</f>
        <v>7</v>
      </c>
      <c r="M551" s="1" t="str" cm="1">
        <f t="array" ref="M551">IF(patients[[#This Row],[length_of_stay]]&gt;patients!$N$2:$N$2,"Over average","Less than average")</f>
        <v>Less than average</v>
      </c>
    </row>
    <row r="552" spans="2:13" x14ac:dyDescent="0.25">
      <c r="B552" s="1" t="s">
        <v>1109</v>
      </c>
      <c r="C552" s="1" t="s">
        <v>1110</v>
      </c>
      <c r="D552">
        <v>28</v>
      </c>
      <c r="E552" s="2">
        <v>45973</v>
      </c>
      <c r="F552" s="2">
        <v>45984</v>
      </c>
      <c r="G552" s="1" t="s">
        <v>17</v>
      </c>
      <c r="H552">
        <v>84</v>
      </c>
      <c r="I552" s="19">
        <f>patients[[#This Row],[departure_date]]-patients[[#This Row],[arrival_date]]</f>
        <v>11</v>
      </c>
      <c r="J552" t="str">
        <f>IF(patients[[#This Row],[age]] &lt; 18,"0-17",IF(patients[[#This Row],[age]] &lt; 40,"18-39",IF(patients[[#This Row],[age]] &lt; 65,"40-64","65+")))</f>
        <v>18-39</v>
      </c>
      <c r="K552" s="1" t="str">
        <f>TEXT(patients[[#This Row],[arrival_date]],"[$-409]mmmm")</f>
        <v>November</v>
      </c>
      <c r="L552" s="1">
        <f>MATCH(K552, {"January";"February";"March";"April";"May";"June";"July";"August";"September";"October";"November";"December"}, 0)</f>
        <v>11</v>
      </c>
      <c r="M552" s="1" t="str" cm="1">
        <f t="array" ref="M552">IF(patients[[#This Row],[length_of_stay]]&gt;patients!$N$2:$N$2,"Over average","Less than average")</f>
        <v>Over average</v>
      </c>
    </row>
    <row r="553" spans="2:13" x14ac:dyDescent="0.25">
      <c r="B553" s="1" t="s">
        <v>1111</v>
      </c>
      <c r="C553" s="1" t="s">
        <v>1112</v>
      </c>
      <c r="D553">
        <v>54</v>
      </c>
      <c r="E553" s="2">
        <v>45832</v>
      </c>
      <c r="F553" s="2">
        <v>45839</v>
      </c>
      <c r="G553" s="1" t="s">
        <v>9</v>
      </c>
      <c r="H553">
        <v>80</v>
      </c>
      <c r="I553" s="19">
        <f>patients[[#This Row],[departure_date]]-patients[[#This Row],[arrival_date]]</f>
        <v>7</v>
      </c>
      <c r="J553" t="str">
        <f>IF(patients[[#This Row],[age]] &lt; 18,"0-17",IF(patients[[#This Row],[age]] &lt; 40,"18-39",IF(patients[[#This Row],[age]] &lt; 65,"40-64","65+")))</f>
        <v>40-64</v>
      </c>
      <c r="K553" s="1" t="str">
        <f>TEXT(patients[[#This Row],[arrival_date]],"[$-409]mmmm")</f>
        <v>June</v>
      </c>
      <c r="L553" s="1">
        <f>MATCH(K553, {"January";"February";"March";"April";"May";"June";"July";"August";"September";"October";"November";"December"}, 0)</f>
        <v>6</v>
      </c>
      <c r="M553" s="1" t="str" cm="1">
        <f t="array" ref="M553">IF(patients[[#This Row],[length_of_stay]]&gt;patients!$N$2:$N$2,"Over average","Less than average")</f>
        <v>Less than average</v>
      </c>
    </row>
    <row r="554" spans="2:13" x14ac:dyDescent="0.25">
      <c r="B554" s="1" t="s">
        <v>1113</v>
      </c>
      <c r="C554" s="1" t="s">
        <v>1114</v>
      </c>
      <c r="D554">
        <v>20</v>
      </c>
      <c r="E554" s="2">
        <v>45670</v>
      </c>
      <c r="F554" s="2">
        <v>45675</v>
      </c>
      <c r="G554" s="1" t="s">
        <v>14</v>
      </c>
      <c r="H554">
        <v>92</v>
      </c>
      <c r="I554" s="19">
        <f>patients[[#This Row],[departure_date]]-patients[[#This Row],[arrival_date]]</f>
        <v>5</v>
      </c>
      <c r="J554" t="str">
        <f>IF(patients[[#This Row],[age]] &lt; 18,"0-17",IF(patients[[#This Row],[age]] &lt; 40,"18-39",IF(patients[[#This Row],[age]] &lt; 65,"40-64","65+")))</f>
        <v>18-39</v>
      </c>
      <c r="K554" s="1" t="str">
        <f>TEXT(patients[[#This Row],[arrival_date]],"[$-409]mmmm")</f>
        <v>January</v>
      </c>
      <c r="L554" s="1">
        <f>MATCH(K554, {"January";"February";"March";"April";"May";"June";"July";"August";"September";"October";"November";"December"}, 0)</f>
        <v>1</v>
      </c>
      <c r="M554" s="1" t="str" cm="1">
        <f t="array" ref="M554">IF(patients[[#This Row],[length_of_stay]]&gt;patients!$N$2:$N$2,"Over average","Less than average")</f>
        <v>Less than average</v>
      </c>
    </row>
    <row r="555" spans="2:13" x14ac:dyDescent="0.25">
      <c r="B555" s="1" t="s">
        <v>1115</v>
      </c>
      <c r="C555" s="1" t="s">
        <v>1116</v>
      </c>
      <c r="D555">
        <v>23</v>
      </c>
      <c r="E555" s="2">
        <v>45668</v>
      </c>
      <c r="F555" s="2">
        <v>45669</v>
      </c>
      <c r="G555" s="1" t="s">
        <v>20</v>
      </c>
      <c r="H555">
        <v>63</v>
      </c>
      <c r="I555" s="19">
        <f>patients[[#This Row],[departure_date]]-patients[[#This Row],[arrival_date]]</f>
        <v>1</v>
      </c>
      <c r="J555" t="str">
        <f>IF(patients[[#This Row],[age]] &lt; 18,"0-17",IF(patients[[#This Row],[age]] &lt; 40,"18-39",IF(patients[[#This Row],[age]] &lt; 65,"40-64","65+")))</f>
        <v>18-39</v>
      </c>
      <c r="K555" s="1" t="str">
        <f>TEXT(patients[[#This Row],[arrival_date]],"[$-409]mmmm")</f>
        <v>January</v>
      </c>
      <c r="L555" s="1">
        <f>MATCH(K555, {"January";"February";"March";"April";"May";"June";"July";"August";"September";"October";"November";"December"}, 0)</f>
        <v>1</v>
      </c>
      <c r="M555" s="1" t="str" cm="1">
        <f t="array" ref="M555">IF(patients[[#This Row],[length_of_stay]]&gt;patients!$N$2:$N$2,"Over average","Less than average")</f>
        <v>Less than average</v>
      </c>
    </row>
    <row r="556" spans="2:13" x14ac:dyDescent="0.25">
      <c r="B556" s="1" t="s">
        <v>1117</v>
      </c>
      <c r="C556" s="1" t="s">
        <v>1118</v>
      </c>
      <c r="D556">
        <v>46</v>
      </c>
      <c r="E556" s="2">
        <v>45751</v>
      </c>
      <c r="F556" s="2">
        <v>45760</v>
      </c>
      <c r="G556" s="1" t="s">
        <v>17</v>
      </c>
      <c r="H556">
        <v>80</v>
      </c>
      <c r="I556" s="19">
        <f>patients[[#This Row],[departure_date]]-patients[[#This Row],[arrival_date]]</f>
        <v>9</v>
      </c>
      <c r="J556" t="str">
        <f>IF(patients[[#This Row],[age]] &lt; 18,"0-17",IF(patients[[#This Row],[age]] &lt; 40,"18-39",IF(patients[[#This Row],[age]] &lt; 65,"40-64","65+")))</f>
        <v>40-64</v>
      </c>
      <c r="K556" s="1" t="str">
        <f>TEXT(patients[[#This Row],[arrival_date]],"[$-409]mmmm")</f>
        <v>April</v>
      </c>
      <c r="L556" s="1">
        <f>MATCH(K556, {"January";"February";"March";"April";"May";"June";"July";"August";"September";"October";"November";"December"}, 0)</f>
        <v>4</v>
      </c>
      <c r="M556" s="1" t="str" cm="1">
        <f t="array" ref="M556">IF(patients[[#This Row],[length_of_stay]]&gt;patients!$N$2:$N$2,"Over average","Less than average")</f>
        <v>Over average</v>
      </c>
    </row>
    <row r="557" spans="2:13" x14ac:dyDescent="0.25">
      <c r="B557" s="1" t="s">
        <v>1119</v>
      </c>
      <c r="C557" s="1" t="s">
        <v>1120</v>
      </c>
      <c r="D557">
        <v>83</v>
      </c>
      <c r="E557" s="2">
        <v>45868</v>
      </c>
      <c r="F557" s="2">
        <v>45880</v>
      </c>
      <c r="G557" s="1" t="s">
        <v>14</v>
      </c>
      <c r="H557">
        <v>96</v>
      </c>
      <c r="I557" s="19">
        <f>patients[[#This Row],[departure_date]]-patients[[#This Row],[arrival_date]]</f>
        <v>12</v>
      </c>
      <c r="J557" t="str">
        <f>IF(patients[[#This Row],[age]] &lt; 18,"0-17",IF(patients[[#This Row],[age]] &lt; 40,"18-39",IF(patients[[#This Row],[age]] &lt; 65,"40-64","65+")))</f>
        <v>65+</v>
      </c>
      <c r="K557" s="1" t="str">
        <f>TEXT(patients[[#This Row],[arrival_date]],"[$-409]mmmm")</f>
        <v>July</v>
      </c>
      <c r="L557" s="1">
        <f>MATCH(K557, {"January";"February";"March";"April";"May";"June";"July";"August";"September";"October";"November";"December"}, 0)</f>
        <v>7</v>
      </c>
      <c r="M557" s="1" t="str" cm="1">
        <f t="array" ref="M557">IF(patients[[#This Row],[length_of_stay]]&gt;patients!$N$2:$N$2,"Over average","Less than average")</f>
        <v>Over average</v>
      </c>
    </row>
    <row r="558" spans="2:13" x14ac:dyDescent="0.25">
      <c r="B558" s="1" t="s">
        <v>1121</v>
      </c>
      <c r="C558" s="1" t="s">
        <v>1122</v>
      </c>
      <c r="D558">
        <v>41</v>
      </c>
      <c r="E558" s="2">
        <v>45758</v>
      </c>
      <c r="F558" s="2">
        <v>45764</v>
      </c>
      <c r="G558" s="1" t="s">
        <v>17</v>
      </c>
      <c r="H558">
        <v>98</v>
      </c>
      <c r="I558" s="19">
        <f>patients[[#This Row],[departure_date]]-patients[[#This Row],[arrival_date]]</f>
        <v>6</v>
      </c>
      <c r="J558" t="str">
        <f>IF(patients[[#This Row],[age]] &lt; 18,"0-17",IF(patients[[#This Row],[age]] &lt; 40,"18-39",IF(patients[[#This Row],[age]] &lt; 65,"40-64","65+")))</f>
        <v>40-64</v>
      </c>
      <c r="K558" s="1" t="str">
        <f>TEXT(patients[[#This Row],[arrival_date]],"[$-409]mmmm")</f>
        <v>April</v>
      </c>
      <c r="L558" s="1">
        <f>MATCH(K558, {"January";"February";"March";"April";"May";"June";"July";"August";"September";"October";"November";"December"}, 0)</f>
        <v>4</v>
      </c>
      <c r="M558" s="1" t="str" cm="1">
        <f t="array" ref="M558">IF(patients[[#This Row],[length_of_stay]]&gt;patients!$N$2:$N$2,"Over average","Less than average")</f>
        <v>Less than average</v>
      </c>
    </row>
    <row r="559" spans="2:13" x14ac:dyDescent="0.25">
      <c r="B559" s="1" t="s">
        <v>1123</v>
      </c>
      <c r="C559" s="1" t="s">
        <v>1124</v>
      </c>
      <c r="D559">
        <v>27</v>
      </c>
      <c r="E559" s="2">
        <v>45698</v>
      </c>
      <c r="F559" s="2">
        <v>45701</v>
      </c>
      <c r="G559" s="1" t="s">
        <v>20</v>
      </c>
      <c r="H559">
        <v>77</v>
      </c>
      <c r="I559" s="19">
        <f>patients[[#This Row],[departure_date]]-patients[[#This Row],[arrival_date]]</f>
        <v>3</v>
      </c>
      <c r="J559" t="str">
        <f>IF(patients[[#This Row],[age]] &lt; 18,"0-17",IF(patients[[#This Row],[age]] &lt; 40,"18-39",IF(patients[[#This Row],[age]] &lt; 65,"40-64","65+")))</f>
        <v>18-39</v>
      </c>
      <c r="K559" s="1" t="str">
        <f>TEXT(patients[[#This Row],[arrival_date]],"[$-409]mmmm")</f>
        <v>February</v>
      </c>
      <c r="L559" s="1">
        <f>MATCH(K559, {"January";"February";"March";"April";"May";"June";"July";"August";"September";"October";"November";"December"}, 0)</f>
        <v>2</v>
      </c>
      <c r="M559" s="1" t="str" cm="1">
        <f t="array" ref="M559">IF(patients[[#This Row],[length_of_stay]]&gt;patients!$N$2:$N$2,"Over average","Less than average")</f>
        <v>Less than average</v>
      </c>
    </row>
    <row r="560" spans="2:13" x14ac:dyDescent="0.25">
      <c r="B560" s="1" t="s">
        <v>1125</v>
      </c>
      <c r="C560" s="1" t="s">
        <v>1126</v>
      </c>
      <c r="D560">
        <v>77</v>
      </c>
      <c r="E560" s="2">
        <v>45893</v>
      </c>
      <c r="F560" s="2">
        <v>45902</v>
      </c>
      <c r="G560" s="1" t="s">
        <v>14</v>
      </c>
      <c r="H560">
        <v>66</v>
      </c>
      <c r="I560" s="19">
        <f>patients[[#This Row],[departure_date]]-patients[[#This Row],[arrival_date]]</f>
        <v>9</v>
      </c>
      <c r="J560" t="str">
        <f>IF(patients[[#This Row],[age]] &lt; 18,"0-17",IF(patients[[#This Row],[age]] &lt; 40,"18-39",IF(patients[[#This Row],[age]] &lt; 65,"40-64","65+")))</f>
        <v>65+</v>
      </c>
      <c r="K560" s="1" t="str">
        <f>TEXT(patients[[#This Row],[arrival_date]],"[$-409]mmmm")</f>
        <v>August</v>
      </c>
      <c r="L560" s="1">
        <f>MATCH(K560, {"January";"February";"March";"April";"May";"June";"July";"August";"September";"October";"November";"December"}, 0)</f>
        <v>8</v>
      </c>
      <c r="M560" s="1" t="str" cm="1">
        <f t="array" ref="M560">IF(patients[[#This Row],[length_of_stay]]&gt;patients!$N$2:$N$2,"Over average","Less than average")</f>
        <v>Over average</v>
      </c>
    </row>
    <row r="561" spans="2:13" x14ac:dyDescent="0.25">
      <c r="B561" s="1" t="s">
        <v>1127</v>
      </c>
      <c r="C561" s="1" t="s">
        <v>1128</v>
      </c>
      <c r="D561">
        <v>12</v>
      </c>
      <c r="E561" s="2">
        <v>45886</v>
      </c>
      <c r="F561" s="2">
        <v>45899</v>
      </c>
      <c r="G561" s="1" t="s">
        <v>9</v>
      </c>
      <c r="H561">
        <v>95</v>
      </c>
      <c r="I561" s="19">
        <f>patients[[#This Row],[departure_date]]-patients[[#This Row],[arrival_date]]</f>
        <v>13</v>
      </c>
      <c r="J561" t="str">
        <f>IF(patients[[#This Row],[age]] &lt; 18,"0-17",IF(patients[[#This Row],[age]] &lt; 40,"18-39",IF(patients[[#This Row],[age]] &lt; 65,"40-64","65+")))</f>
        <v>0-17</v>
      </c>
      <c r="K561" s="1" t="str">
        <f>TEXT(patients[[#This Row],[arrival_date]],"[$-409]mmmm")</f>
        <v>August</v>
      </c>
      <c r="L561" s="1">
        <f>MATCH(K561, {"January";"February";"March";"April";"May";"June";"July";"August";"September";"October";"November";"December"}, 0)</f>
        <v>8</v>
      </c>
      <c r="M561" s="1" t="str" cm="1">
        <f t="array" ref="M561">IF(patients[[#This Row],[length_of_stay]]&gt;patients!$N$2:$N$2,"Over average","Less than average")</f>
        <v>Over average</v>
      </c>
    </row>
    <row r="562" spans="2:13" x14ac:dyDescent="0.25">
      <c r="B562" s="1" t="s">
        <v>1129</v>
      </c>
      <c r="C562" s="1" t="s">
        <v>1130</v>
      </c>
      <c r="D562">
        <v>30</v>
      </c>
      <c r="E562" s="2">
        <v>45673</v>
      </c>
      <c r="F562" s="2">
        <v>45682</v>
      </c>
      <c r="G562" s="1" t="s">
        <v>9</v>
      </c>
      <c r="H562">
        <v>68</v>
      </c>
      <c r="I562" s="19">
        <f>patients[[#This Row],[departure_date]]-patients[[#This Row],[arrival_date]]</f>
        <v>9</v>
      </c>
      <c r="J562" t="str">
        <f>IF(patients[[#This Row],[age]] &lt; 18,"0-17",IF(patients[[#This Row],[age]] &lt; 40,"18-39",IF(patients[[#This Row],[age]] &lt; 65,"40-64","65+")))</f>
        <v>18-39</v>
      </c>
      <c r="K562" s="1" t="str">
        <f>TEXT(patients[[#This Row],[arrival_date]],"[$-409]mmmm")</f>
        <v>January</v>
      </c>
      <c r="L562" s="1">
        <f>MATCH(K562, {"January";"February";"March";"April";"May";"June";"July";"August";"September";"October";"November";"December"}, 0)</f>
        <v>1</v>
      </c>
      <c r="M562" s="1" t="str" cm="1">
        <f t="array" ref="M562">IF(patients[[#This Row],[length_of_stay]]&gt;patients!$N$2:$N$2,"Over average","Less than average")</f>
        <v>Over average</v>
      </c>
    </row>
    <row r="563" spans="2:13" x14ac:dyDescent="0.25">
      <c r="B563" s="1" t="s">
        <v>1131</v>
      </c>
      <c r="C563" s="1" t="s">
        <v>1132</v>
      </c>
      <c r="D563">
        <v>37</v>
      </c>
      <c r="E563" s="2">
        <v>45967</v>
      </c>
      <c r="F563" s="2">
        <v>45975</v>
      </c>
      <c r="G563" s="1" t="s">
        <v>14</v>
      </c>
      <c r="H563">
        <v>81</v>
      </c>
      <c r="I563" s="19">
        <f>patients[[#This Row],[departure_date]]-patients[[#This Row],[arrival_date]]</f>
        <v>8</v>
      </c>
      <c r="J563" t="str">
        <f>IF(patients[[#This Row],[age]] &lt; 18,"0-17",IF(patients[[#This Row],[age]] &lt; 40,"18-39",IF(patients[[#This Row],[age]] &lt; 65,"40-64","65+")))</f>
        <v>18-39</v>
      </c>
      <c r="K563" s="1" t="str">
        <f>TEXT(patients[[#This Row],[arrival_date]],"[$-409]mmmm")</f>
        <v>November</v>
      </c>
      <c r="L563" s="1">
        <f>MATCH(K563, {"January";"February";"March";"April";"May";"June";"July";"August";"September";"October";"November";"December"}, 0)</f>
        <v>11</v>
      </c>
      <c r="M563" s="1" t="str" cm="1">
        <f t="array" ref="M563">IF(patients[[#This Row],[length_of_stay]]&gt;patients!$N$2:$N$2,"Over average","Less than average")</f>
        <v>Over average</v>
      </c>
    </row>
    <row r="564" spans="2:13" x14ac:dyDescent="0.25">
      <c r="B564" s="1" t="s">
        <v>1133</v>
      </c>
      <c r="C564" s="1" t="s">
        <v>1134</v>
      </c>
      <c r="D564">
        <v>86</v>
      </c>
      <c r="E564" s="2">
        <v>45894</v>
      </c>
      <c r="F564" s="2">
        <v>45896</v>
      </c>
      <c r="G564" s="1" t="s">
        <v>17</v>
      </c>
      <c r="H564">
        <v>68</v>
      </c>
      <c r="I564" s="19">
        <f>patients[[#This Row],[departure_date]]-patients[[#This Row],[arrival_date]]</f>
        <v>2</v>
      </c>
      <c r="J564" t="str">
        <f>IF(patients[[#This Row],[age]] &lt; 18,"0-17",IF(patients[[#This Row],[age]] &lt; 40,"18-39",IF(patients[[#This Row],[age]] &lt; 65,"40-64","65+")))</f>
        <v>65+</v>
      </c>
      <c r="K564" s="1" t="str">
        <f>TEXT(patients[[#This Row],[arrival_date]],"[$-409]mmmm")</f>
        <v>August</v>
      </c>
      <c r="L564" s="1">
        <f>MATCH(K564, {"January";"February";"March";"April";"May";"June";"July";"August";"September";"October";"November";"December"}, 0)</f>
        <v>8</v>
      </c>
      <c r="M564" s="1" t="str" cm="1">
        <f t="array" ref="M564">IF(patients[[#This Row],[length_of_stay]]&gt;patients!$N$2:$N$2,"Over average","Less than average")</f>
        <v>Less than average</v>
      </c>
    </row>
    <row r="565" spans="2:13" x14ac:dyDescent="0.25">
      <c r="B565" s="1" t="s">
        <v>1135</v>
      </c>
      <c r="C565" s="1" t="s">
        <v>1136</v>
      </c>
      <c r="D565">
        <v>87</v>
      </c>
      <c r="E565" s="2">
        <v>45920</v>
      </c>
      <c r="F565" s="2">
        <v>45924</v>
      </c>
      <c r="G565" s="1" t="s">
        <v>20</v>
      </c>
      <c r="H565">
        <v>77</v>
      </c>
      <c r="I565" s="19">
        <f>patients[[#This Row],[departure_date]]-patients[[#This Row],[arrival_date]]</f>
        <v>4</v>
      </c>
      <c r="J565" t="str">
        <f>IF(patients[[#This Row],[age]] &lt; 18,"0-17",IF(patients[[#This Row],[age]] &lt; 40,"18-39",IF(patients[[#This Row],[age]] &lt; 65,"40-64","65+")))</f>
        <v>65+</v>
      </c>
      <c r="K565" s="1" t="str">
        <f>TEXT(patients[[#This Row],[arrival_date]],"[$-409]mmmm")</f>
        <v>September</v>
      </c>
      <c r="L565" s="1">
        <f>MATCH(K565, {"January";"February";"March";"April";"May";"June";"July";"August";"September";"October";"November";"December"}, 0)</f>
        <v>9</v>
      </c>
      <c r="M565" s="1" t="str" cm="1">
        <f t="array" ref="M565">IF(patients[[#This Row],[length_of_stay]]&gt;patients!$N$2:$N$2,"Over average","Less than average")</f>
        <v>Less than average</v>
      </c>
    </row>
    <row r="566" spans="2:13" x14ac:dyDescent="0.25">
      <c r="B566" s="1" t="s">
        <v>1137</v>
      </c>
      <c r="C566" s="1" t="s">
        <v>1138</v>
      </c>
      <c r="D566">
        <v>2</v>
      </c>
      <c r="E566" s="2">
        <v>45983</v>
      </c>
      <c r="F566" s="2">
        <v>45995</v>
      </c>
      <c r="G566" s="1" t="s">
        <v>20</v>
      </c>
      <c r="H566">
        <v>80</v>
      </c>
      <c r="I566" s="19">
        <f>patients[[#This Row],[departure_date]]-patients[[#This Row],[arrival_date]]</f>
        <v>12</v>
      </c>
      <c r="J566" t="str">
        <f>IF(patients[[#This Row],[age]] &lt; 18,"0-17",IF(patients[[#This Row],[age]] &lt; 40,"18-39",IF(patients[[#This Row],[age]] &lt; 65,"40-64","65+")))</f>
        <v>0-17</v>
      </c>
      <c r="K566" s="1" t="str">
        <f>TEXT(patients[[#This Row],[arrival_date]],"[$-409]mmmm")</f>
        <v>November</v>
      </c>
      <c r="L566" s="1">
        <f>MATCH(K566, {"January";"February";"March";"April";"May";"June";"July";"August";"September";"October";"November";"December"}, 0)</f>
        <v>11</v>
      </c>
      <c r="M566" s="1" t="str" cm="1">
        <f t="array" ref="M566">IF(patients[[#This Row],[length_of_stay]]&gt;patients!$N$2:$N$2,"Over average","Less than average")</f>
        <v>Over average</v>
      </c>
    </row>
    <row r="567" spans="2:13" x14ac:dyDescent="0.25">
      <c r="B567" s="1" t="s">
        <v>1139</v>
      </c>
      <c r="C567" s="1" t="s">
        <v>1140</v>
      </c>
      <c r="D567">
        <v>27</v>
      </c>
      <c r="E567" s="2">
        <v>45967</v>
      </c>
      <c r="F567" s="2">
        <v>45973</v>
      </c>
      <c r="G567" s="1" t="s">
        <v>20</v>
      </c>
      <c r="H567">
        <v>60</v>
      </c>
      <c r="I567" s="19">
        <f>patients[[#This Row],[departure_date]]-patients[[#This Row],[arrival_date]]</f>
        <v>6</v>
      </c>
      <c r="J567" t="str">
        <f>IF(patients[[#This Row],[age]] &lt; 18,"0-17",IF(patients[[#This Row],[age]] &lt; 40,"18-39",IF(patients[[#This Row],[age]] &lt; 65,"40-64","65+")))</f>
        <v>18-39</v>
      </c>
      <c r="K567" s="1" t="str">
        <f>TEXT(patients[[#This Row],[arrival_date]],"[$-409]mmmm")</f>
        <v>November</v>
      </c>
      <c r="L567" s="1">
        <f>MATCH(K567, {"January";"February";"March";"April";"May";"June";"July";"August";"September";"October";"November";"December"}, 0)</f>
        <v>11</v>
      </c>
      <c r="M567" s="1" t="str" cm="1">
        <f t="array" ref="M567">IF(patients[[#This Row],[length_of_stay]]&gt;patients!$N$2:$N$2,"Over average","Less than average")</f>
        <v>Less than average</v>
      </c>
    </row>
    <row r="568" spans="2:13" x14ac:dyDescent="0.25">
      <c r="B568" s="1" t="s">
        <v>1141</v>
      </c>
      <c r="C568" s="1" t="s">
        <v>1142</v>
      </c>
      <c r="D568">
        <v>20</v>
      </c>
      <c r="E568" s="2">
        <v>45892</v>
      </c>
      <c r="F568" s="2">
        <v>45895</v>
      </c>
      <c r="G568" s="1" t="s">
        <v>20</v>
      </c>
      <c r="H568">
        <v>72</v>
      </c>
      <c r="I568" s="19">
        <f>patients[[#This Row],[departure_date]]-patients[[#This Row],[arrival_date]]</f>
        <v>3</v>
      </c>
      <c r="J568" t="str">
        <f>IF(patients[[#This Row],[age]] &lt; 18,"0-17",IF(patients[[#This Row],[age]] &lt; 40,"18-39",IF(patients[[#This Row],[age]] &lt; 65,"40-64","65+")))</f>
        <v>18-39</v>
      </c>
      <c r="K568" s="1" t="str">
        <f>TEXT(patients[[#This Row],[arrival_date]],"[$-409]mmmm")</f>
        <v>August</v>
      </c>
      <c r="L568" s="1">
        <f>MATCH(K568, {"January";"February";"March";"April";"May";"June";"July";"August";"September";"October";"November";"December"}, 0)</f>
        <v>8</v>
      </c>
      <c r="M568" s="1" t="str" cm="1">
        <f t="array" ref="M568">IF(patients[[#This Row],[length_of_stay]]&gt;patients!$N$2:$N$2,"Over average","Less than average")</f>
        <v>Less than average</v>
      </c>
    </row>
    <row r="569" spans="2:13" x14ac:dyDescent="0.25">
      <c r="B569" s="1" t="s">
        <v>1143</v>
      </c>
      <c r="C569" s="1" t="s">
        <v>1144</v>
      </c>
      <c r="D569">
        <v>56</v>
      </c>
      <c r="E569" s="2">
        <v>45775</v>
      </c>
      <c r="F569" s="2">
        <v>45781</v>
      </c>
      <c r="G569" s="1" t="s">
        <v>17</v>
      </c>
      <c r="H569">
        <v>69</v>
      </c>
      <c r="I569" s="19">
        <f>patients[[#This Row],[departure_date]]-patients[[#This Row],[arrival_date]]</f>
        <v>6</v>
      </c>
      <c r="J569" t="str">
        <f>IF(patients[[#This Row],[age]] &lt; 18,"0-17",IF(patients[[#This Row],[age]] &lt; 40,"18-39",IF(patients[[#This Row],[age]] &lt; 65,"40-64","65+")))</f>
        <v>40-64</v>
      </c>
      <c r="K569" s="1" t="str">
        <f>TEXT(patients[[#This Row],[arrival_date]],"[$-409]mmmm")</f>
        <v>April</v>
      </c>
      <c r="L569" s="1">
        <f>MATCH(K569, {"January";"February";"March";"April";"May";"June";"July";"August";"September";"October";"November";"December"}, 0)</f>
        <v>4</v>
      </c>
      <c r="M569" s="1" t="str" cm="1">
        <f t="array" ref="M569">IF(patients[[#This Row],[length_of_stay]]&gt;patients!$N$2:$N$2,"Over average","Less than average")</f>
        <v>Less than average</v>
      </c>
    </row>
    <row r="570" spans="2:13" x14ac:dyDescent="0.25">
      <c r="B570" s="1" t="s">
        <v>1145</v>
      </c>
      <c r="C570" s="1" t="s">
        <v>1146</v>
      </c>
      <c r="D570">
        <v>52</v>
      </c>
      <c r="E570" s="2">
        <v>45960</v>
      </c>
      <c r="F570" s="2">
        <v>45965</v>
      </c>
      <c r="G570" s="1" t="s">
        <v>20</v>
      </c>
      <c r="H570">
        <v>69</v>
      </c>
      <c r="I570" s="19">
        <f>patients[[#This Row],[departure_date]]-patients[[#This Row],[arrival_date]]</f>
        <v>5</v>
      </c>
      <c r="J570" t="str">
        <f>IF(patients[[#This Row],[age]] &lt; 18,"0-17",IF(patients[[#This Row],[age]] &lt; 40,"18-39",IF(patients[[#This Row],[age]] &lt; 65,"40-64","65+")))</f>
        <v>40-64</v>
      </c>
      <c r="K570" s="1" t="str">
        <f>TEXT(patients[[#This Row],[arrival_date]],"[$-409]mmmm")</f>
        <v>October</v>
      </c>
      <c r="L570" s="1">
        <f>MATCH(K570, {"January";"February";"March";"April";"May";"June";"July";"August";"September";"October";"November";"December"}, 0)</f>
        <v>10</v>
      </c>
      <c r="M570" s="1" t="str" cm="1">
        <f t="array" ref="M570">IF(patients[[#This Row],[length_of_stay]]&gt;patients!$N$2:$N$2,"Over average","Less than average")</f>
        <v>Less than average</v>
      </c>
    </row>
    <row r="571" spans="2:13" x14ac:dyDescent="0.25">
      <c r="B571" s="1" t="s">
        <v>1147</v>
      </c>
      <c r="C571" s="1" t="s">
        <v>1148</v>
      </c>
      <c r="D571">
        <v>45</v>
      </c>
      <c r="E571" s="2">
        <v>45822</v>
      </c>
      <c r="F571" s="2">
        <v>45828</v>
      </c>
      <c r="G571" s="1" t="s">
        <v>17</v>
      </c>
      <c r="H571">
        <v>83</v>
      </c>
      <c r="I571" s="19">
        <f>patients[[#This Row],[departure_date]]-patients[[#This Row],[arrival_date]]</f>
        <v>6</v>
      </c>
      <c r="J571" t="str">
        <f>IF(patients[[#This Row],[age]] &lt; 18,"0-17",IF(patients[[#This Row],[age]] &lt; 40,"18-39",IF(patients[[#This Row],[age]] &lt; 65,"40-64","65+")))</f>
        <v>40-64</v>
      </c>
      <c r="K571" s="1" t="str">
        <f>TEXT(patients[[#This Row],[arrival_date]],"[$-409]mmmm")</f>
        <v>June</v>
      </c>
      <c r="L571" s="1">
        <f>MATCH(K571, {"January";"February";"March";"April";"May";"June";"July";"August";"September";"October";"November";"December"}, 0)</f>
        <v>6</v>
      </c>
      <c r="M571" s="1" t="str" cm="1">
        <f t="array" ref="M571">IF(patients[[#This Row],[length_of_stay]]&gt;patients!$N$2:$N$2,"Over average","Less than average")</f>
        <v>Less than average</v>
      </c>
    </row>
    <row r="572" spans="2:13" x14ac:dyDescent="0.25">
      <c r="B572" s="1" t="s">
        <v>1149</v>
      </c>
      <c r="C572" s="1" t="s">
        <v>1150</v>
      </c>
      <c r="D572">
        <v>1</v>
      </c>
      <c r="E572" s="2">
        <v>45994</v>
      </c>
      <c r="F572" s="2">
        <v>45998</v>
      </c>
      <c r="G572" s="1" t="s">
        <v>9</v>
      </c>
      <c r="H572">
        <v>73</v>
      </c>
      <c r="I572" s="19">
        <f>patients[[#This Row],[departure_date]]-patients[[#This Row],[arrival_date]]</f>
        <v>4</v>
      </c>
      <c r="J572" t="str">
        <f>IF(patients[[#This Row],[age]] &lt; 18,"0-17",IF(patients[[#This Row],[age]] &lt; 40,"18-39",IF(patients[[#This Row],[age]] &lt; 65,"40-64","65+")))</f>
        <v>0-17</v>
      </c>
      <c r="K572" s="1" t="str">
        <f>TEXT(patients[[#This Row],[arrival_date]],"[$-409]mmmm")</f>
        <v>December</v>
      </c>
      <c r="L572" s="1">
        <f>MATCH(K572, {"January";"February";"March";"April";"May";"June";"July";"August";"September";"October";"November";"December"}, 0)</f>
        <v>12</v>
      </c>
      <c r="M572" s="1" t="str" cm="1">
        <f t="array" ref="M572">IF(patients[[#This Row],[length_of_stay]]&gt;patients!$N$2:$N$2,"Over average","Less than average")</f>
        <v>Less than average</v>
      </c>
    </row>
    <row r="573" spans="2:13" x14ac:dyDescent="0.25">
      <c r="B573" s="1" t="s">
        <v>1151</v>
      </c>
      <c r="C573" s="1" t="s">
        <v>1152</v>
      </c>
      <c r="D573">
        <v>9</v>
      </c>
      <c r="E573" s="2">
        <v>45768</v>
      </c>
      <c r="F573" s="2">
        <v>45774</v>
      </c>
      <c r="G573" s="1" t="s">
        <v>14</v>
      </c>
      <c r="H573">
        <v>76</v>
      </c>
      <c r="I573" s="19">
        <f>patients[[#This Row],[departure_date]]-patients[[#This Row],[arrival_date]]</f>
        <v>6</v>
      </c>
      <c r="J573" t="str">
        <f>IF(patients[[#This Row],[age]] &lt; 18,"0-17",IF(patients[[#This Row],[age]] &lt; 40,"18-39",IF(patients[[#This Row],[age]] &lt; 65,"40-64","65+")))</f>
        <v>0-17</v>
      </c>
      <c r="K573" s="1" t="str">
        <f>TEXT(patients[[#This Row],[arrival_date]],"[$-409]mmmm")</f>
        <v>April</v>
      </c>
      <c r="L573" s="1">
        <f>MATCH(K573, {"January";"February";"March";"April";"May";"June";"July";"August";"September";"October";"November";"December"}, 0)</f>
        <v>4</v>
      </c>
      <c r="M573" s="1" t="str" cm="1">
        <f t="array" ref="M573">IF(patients[[#This Row],[length_of_stay]]&gt;patients!$N$2:$N$2,"Over average","Less than average")</f>
        <v>Less than average</v>
      </c>
    </row>
    <row r="574" spans="2:13" x14ac:dyDescent="0.25">
      <c r="B574" s="1" t="s">
        <v>1153</v>
      </c>
      <c r="C574" s="1" t="s">
        <v>1154</v>
      </c>
      <c r="D574">
        <v>11</v>
      </c>
      <c r="E574" s="2">
        <v>45681</v>
      </c>
      <c r="F574" s="2">
        <v>45694</v>
      </c>
      <c r="G574" s="1" t="s">
        <v>9</v>
      </c>
      <c r="H574">
        <v>84</v>
      </c>
      <c r="I574" s="19">
        <f>patients[[#This Row],[departure_date]]-patients[[#This Row],[arrival_date]]</f>
        <v>13</v>
      </c>
      <c r="J574" t="str">
        <f>IF(patients[[#This Row],[age]] &lt; 18,"0-17",IF(patients[[#This Row],[age]] &lt; 40,"18-39",IF(patients[[#This Row],[age]] &lt; 65,"40-64","65+")))</f>
        <v>0-17</v>
      </c>
      <c r="K574" s="1" t="str">
        <f>TEXT(patients[[#This Row],[arrival_date]],"[$-409]mmmm")</f>
        <v>January</v>
      </c>
      <c r="L574" s="1">
        <f>MATCH(K574, {"January";"February";"March";"April";"May";"June";"July";"August";"September";"October";"November";"December"}, 0)</f>
        <v>1</v>
      </c>
      <c r="M574" s="1" t="str" cm="1">
        <f t="array" ref="M574">IF(patients[[#This Row],[length_of_stay]]&gt;patients!$N$2:$N$2,"Over average","Less than average")</f>
        <v>Over average</v>
      </c>
    </row>
    <row r="575" spans="2:13" x14ac:dyDescent="0.25">
      <c r="B575" s="1" t="s">
        <v>1155</v>
      </c>
      <c r="C575" s="1" t="s">
        <v>1156</v>
      </c>
      <c r="D575">
        <v>59</v>
      </c>
      <c r="E575" s="2">
        <v>45887</v>
      </c>
      <c r="F575" s="2">
        <v>45888</v>
      </c>
      <c r="G575" s="1" t="s">
        <v>9</v>
      </c>
      <c r="H575">
        <v>79</v>
      </c>
      <c r="I575" s="19">
        <f>patients[[#This Row],[departure_date]]-patients[[#This Row],[arrival_date]]</f>
        <v>1</v>
      </c>
      <c r="J575" t="str">
        <f>IF(patients[[#This Row],[age]] &lt; 18,"0-17",IF(patients[[#This Row],[age]] &lt; 40,"18-39",IF(patients[[#This Row],[age]] &lt; 65,"40-64","65+")))</f>
        <v>40-64</v>
      </c>
      <c r="K575" s="1" t="str">
        <f>TEXT(patients[[#This Row],[arrival_date]],"[$-409]mmmm")</f>
        <v>August</v>
      </c>
      <c r="L575" s="1">
        <f>MATCH(K575, {"January";"February";"March";"April";"May";"June";"July";"August";"September";"October";"November";"December"}, 0)</f>
        <v>8</v>
      </c>
      <c r="M575" s="1" t="str" cm="1">
        <f t="array" ref="M575">IF(patients[[#This Row],[length_of_stay]]&gt;patients!$N$2:$N$2,"Over average","Less than average")</f>
        <v>Less than average</v>
      </c>
    </row>
    <row r="576" spans="2:13" x14ac:dyDescent="0.25">
      <c r="B576" s="1" t="s">
        <v>1157</v>
      </c>
      <c r="C576" s="1" t="s">
        <v>1158</v>
      </c>
      <c r="D576">
        <v>27</v>
      </c>
      <c r="E576" s="2">
        <v>45832</v>
      </c>
      <c r="F576" s="2">
        <v>45833</v>
      </c>
      <c r="G576" s="1" t="s">
        <v>20</v>
      </c>
      <c r="H576">
        <v>99</v>
      </c>
      <c r="I576" s="19">
        <f>patients[[#This Row],[departure_date]]-patients[[#This Row],[arrival_date]]</f>
        <v>1</v>
      </c>
      <c r="J576" t="str">
        <f>IF(patients[[#This Row],[age]] &lt; 18,"0-17",IF(patients[[#This Row],[age]] &lt; 40,"18-39",IF(patients[[#This Row],[age]] &lt; 65,"40-64","65+")))</f>
        <v>18-39</v>
      </c>
      <c r="K576" s="1" t="str">
        <f>TEXT(patients[[#This Row],[arrival_date]],"[$-409]mmmm")</f>
        <v>June</v>
      </c>
      <c r="L576" s="1">
        <f>MATCH(K576, {"January";"February";"March";"April";"May";"June";"July";"August";"September";"October";"November";"December"}, 0)</f>
        <v>6</v>
      </c>
      <c r="M576" s="1" t="str" cm="1">
        <f t="array" ref="M576">IF(patients[[#This Row],[length_of_stay]]&gt;patients!$N$2:$N$2,"Over average","Less than average")</f>
        <v>Less than average</v>
      </c>
    </row>
    <row r="577" spans="2:13" x14ac:dyDescent="0.25">
      <c r="B577" s="1" t="s">
        <v>1159</v>
      </c>
      <c r="C577" s="1" t="s">
        <v>1160</v>
      </c>
      <c r="D577">
        <v>57</v>
      </c>
      <c r="E577" s="2">
        <v>45940</v>
      </c>
      <c r="F577" s="2">
        <v>45946</v>
      </c>
      <c r="G577" s="1" t="s">
        <v>20</v>
      </c>
      <c r="H577">
        <v>89</v>
      </c>
      <c r="I577" s="19">
        <f>patients[[#This Row],[departure_date]]-patients[[#This Row],[arrival_date]]</f>
        <v>6</v>
      </c>
      <c r="J577" t="str">
        <f>IF(patients[[#This Row],[age]] &lt; 18,"0-17",IF(patients[[#This Row],[age]] &lt; 40,"18-39",IF(patients[[#This Row],[age]] &lt; 65,"40-64","65+")))</f>
        <v>40-64</v>
      </c>
      <c r="K577" s="1" t="str">
        <f>TEXT(patients[[#This Row],[arrival_date]],"[$-409]mmmm")</f>
        <v>October</v>
      </c>
      <c r="L577" s="1">
        <f>MATCH(K577, {"January";"February";"March";"April";"May";"June";"July";"August";"September";"October";"November";"December"}, 0)</f>
        <v>10</v>
      </c>
      <c r="M577" s="1" t="str" cm="1">
        <f t="array" ref="M577">IF(patients[[#This Row],[length_of_stay]]&gt;patients!$N$2:$N$2,"Over average","Less than average")</f>
        <v>Less than average</v>
      </c>
    </row>
    <row r="578" spans="2:13" x14ac:dyDescent="0.25">
      <c r="B578" s="1" t="s">
        <v>1161</v>
      </c>
      <c r="C578" s="1" t="s">
        <v>1162</v>
      </c>
      <c r="D578">
        <v>33</v>
      </c>
      <c r="E578" s="2">
        <v>45791</v>
      </c>
      <c r="F578" s="2">
        <v>45798</v>
      </c>
      <c r="G578" s="1" t="s">
        <v>17</v>
      </c>
      <c r="H578">
        <v>91</v>
      </c>
      <c r="I578" s="19">
        <f>patients[[#This Row],[departure_date]]-patients[[#This Row],[arrival_date]]</f>
        <v>7</v>
      </c>
      <c r="J578" t="str">
        <f>IF(patients[[#This Row],[age]] &lt; 18,"0-17",IF(patients[[#This Row],[age]] &lt; 40,"18-39",IF(patients[[#This Row],[age]] &lt; 65,"40-64","65+")))</f>
        <v>18-39</v>
      </c>
      <c r="K578" s="1" t="str">
        <f>TEXT(patients[[#This Row],[arrival_date]],"[$-409]mmmm")</f>
        <v>May</v>
      </c>
      <c r="L578" s="1">
        <f>MATCH(K578, {"January";"February";"March";"April";"May";"June";"July";"August";"September";"October";"November";"December"}, 0)</f>
        <v>5</v>
      </c>
      <c r="M578" s="1" t="str" cm="1">
        <f t="array" ref="M578">IF(patients[[#This Row],[length_of_stay]]&gt;patients!$N$2:$N$2,"Over average","Less than average")</f>
        <v>Less than average</v>
      </c>
    </row>
    <row r="579" spans="2:13" x14ac:dyDescent="0.25">
      <c r="B579" s="1" t="s">
        <v>1163</v>
      </c>
      <c r="C579" s="1" t="s">
        <v>1164</v>
      </c>
      <c r="D579">
        <v>24</v>
      </c>
      <c r="E579" s="2">
        <v>45712</v>
      </c>
      <c r="F579" s="2">
        <v>45722</v>
      </c>
      <c r="G579" s="1" t="s">
        <v>17</v>
      </c>
      <c r="H579">
        <v>66</v>
      </c>
      <c r="I579" s="19">
        <f>patients[[#This Row],[departure_date]]-patients[[#This Row],[arrival_date]]</f>
        <v>10</v>
      </c>
      <c r="J579" t="str">
        <f>IF(patients[[#This Row],[age]] &lt; 18,"0-17",IF(patients[[#This Row],[age]] &lt; 40,"18-39",IF(patients[[#This Row],[age]] &lt; 65,"40-64","65+")))</f>
        <v>18-39</v>
      </c>
      <c r="K579" s="1" t="str">
        <f>TEXT(patients[[#This Row],[arrival_date]],"[$-409]mmmm")</f>
        <v>February</v>
      </c>
      <c r="L579" s="1">
        <f>MATCH(K579, {"January";"February";"March";"April";"May";"June";"July";"August";"September";"October";"November";"December"}, 0)</f>
        <v>2</v>
      </c>
      <c r="M579" s="1" t="str" cm="1">
        <f t="array" ref="M579">IF(patients[[#This Row],[length_of_stay]]&gt;patients!$N$2:$N$2,"Over average","Less than average")</f>
        <v>Over average</v>
      </c>
    </row>
    <row r="580" spans="2:13" x14ac:dyDescent="0.25">
      <c r="B580" s="1" t="s">
        <v>1165</v>
      </c>
      <c r="C580" s="1" t="s">
        <v>1166</v>
      </c>
      <c r="D580">
        <v>56</v>
      </c>
      <c r="E580" s="2">
        <v>45669</v>
      </c>
      <c r="F580" s="2">
        <v>45680</v>
      </c>
      <c r="G580" s="1" t="s">
        <v>9</v>
      </c>
      <c r="H580">
        <v>95</v>
      </c>
      <c r="I580" s="19">
        <f>patients[[#This Row],[departure_date]]-patients[[#This Row],[arrival_date]]</f>
        <v>11</v>
      </c>
      <c r="J580" t="str">
        <f>IF(patients[[#This Row],[age]] &lt; 18,"0-17",IF(patients[[#This Row],[age]] &lt; 40,"18-39",IF(patients[[#This Row],[age]] &lt; 65,"40-64","65+")))</f>
        <v>40-64</v>
      </c>
      <c r="K580" s="1" t="str">
        <f>TEXT(patients[[#This Row],[arrival_date]],"[$-409]mmmm")</f>
        <v>January</v>
      </c>
      <c r="L580" s="1">
        <f>MATCH(K580, {"January";"February";"March";"April";"May";"June";"July";"August";"September";"October";"November";"December"}, 0)</f>
        <v>1</v>
      </c>
      <c r="M580" s="1" t="str" cm="1">
        <f t="array" ref="M580">IF(patients[[#This Row],[length_of_stay]]&gt;patients!$N$2:$N$2,"Over average","Less than average")</f>
        <v>Over average</v>
      </c>
    </row>
    <row r="581" spans="2:13" x14ac:dyDescent="0.25">
      <c r="B581" s="1" t="s">
        <v>1167</v>
      </c>
      <c r="C581" s="1" t="s">
        <v>1168</v>
      </c>
      <c r="D581">
        <v>76</v>
      </c>
      <c r="E581" s="2">
        <v>45885</v>
      </c>
      <c r="F581" s="2">
        <v>45888</v>
      </c>
      <c r="G581" s="1" t="s">
        <v>14</v>
      </c>
      <c r="H581">
        <v>68</v>
      </c>
      <c r="I581" s="19">
        <f>patients[[#This Row],[departure_date]]-patients[[#This Row],[arrival_date]]</f>
        <v>3</v>
      </c>
      <c r="J581" t="str">
        <f>IF(patients[[#This Row],[age]] &lt; 18,"0-17",IF(patients[[#This Row],[age]] &lt; 40,"18-39",IF(patients[[#This Row],[age]] &lt; 65,"40-64","65+")))</f>
        <v>65+</v>
      </c>
      <c r="K581" s="1" t="str">
        <f>TEXT(patients[[#This Row],[arrival_date]],"[$-409]mmmm")</f>
        <v>August</v>
      </c>
      <c r="L581" s="1">
        <f>MATCH(K581, {"January";"February";"March";"April";"May";"June";"July";"August";"September";"October";"November";"December"}, 0)</f>
        <v>8</v>
      </c>
      <c r="M581" s="1" t="str" cm="1">
        <f t="array" ref="M581">IF(patients[[#This Row],[length_of_stay]]&gt;patients!$N$2:$N$2,"Over average","Less than average")</f>
        <v>Less than average</v>
      </c>
    </row>
    <row r="582" spans="2:13" x14ac:dyDescent="0.25">
      <c r="B582" s="1" t="s">
        <v>1169</v>
      </c>
      <c r="C582" s="1" t="s">
        <v>1170</v>
      </c>
      <c r="D582">
        <v>31</v>
      </c>
      <c r="E582" s="2">
        <v>45921</v>
      </c>
      <c r="F582" s="2">
        <v>45922</v>
      </c>
      <c r="G582" s="1" t="s">
        <v>14</v>
      </c>
      <c r="H582">
        <v>82</v>
      </c>
      <c r="I582" s="19">
        <f>patients[[#This Row],[departure_date]]-patients[[#This Row],[arrival_date]]</f>
        <v>1</v>
      </c>
      <c r="J582" t="str">
        <f>IF(patients[[#This Row],[age]] &lt; 18,"0-17",IF(patients[[#This Row],[age]] &lt; 40,"18-39",IF(patients[[#This Row],[age]] &lt; 65,"40-64","65+")))</f>
        <v>18-39</v>
      </c>
      <c r="K582" s="1" t="str">
        <f>TEXT(patients[[#This Row],[arrival_date]],"[$-409]mmmm")</f>
        <v>September</v>
      </c>
      <c r="L582" s="1">
        <f>MATCH(K582, {"January";"February";"March";"April";"May";"June";"July";"August";"September";"October";"November";"December"}, 0)</f>
        <v>9</v>
      </c>
      <c r="M582" s="1" t="str" cm="1">
        <f t="array" ref="M582">IF(patients[[#This Row],[length_of_stay]]&gt;patients!$N$2:$N$2,"Over average","Less than average")</f>
        <v>Less than average</v>
      </c>
    </row>
    <row r="583" spans="2:13" x14ac:dyDescent="0.25">
      <c r="B583" s="1" t="s">
        <v>1171</v>
      </c>
      <c r="C583" s="1" t="s">
        <v>1172</v>
      </c>
      <c r="D583">
        <v>88</v>
      </c>
      <c r="E583" s="2">
        <v>45702</v>
      </c>
      <c r="F583" s="2">
        <v>45708</v>
      </c>
      <c r="G583" s="1" t="s">
        <v>20</v>
      </c>
      <c r="H583">
        <v>63</v>
      </c>
      <c r="I583" s="19">
        <f>patients[[#This Row],[departure_date]]-patients[[#This Row],[arrival_date]]</f>
        <v>6</v>
      </c>
      <c r="J583" t="str">
        <f>IF(patients[[#This Row],[age]] &lt; 18,"0-17",IF(patients[[#This Row],[age]] &lt; 40,"18-39",IF(patients[[#This Row],[age]] &lt; 65,"40-64","65+")))</f>
        <v>65+</v>
      </c>
      <c r="K583" s="1" t="str">
        <f>TEXT(patients[[#This Row],[arrival_date]],"[$-409]mmmm")</f>
        <v>February</v>
      </c>
      <c r="L583" s="1">
        <f>MATCH(K583, {"January";"February";"March";"April";"May";"June";"July";"August";"September";"October";"November";"December"}, 0)</f>
        <v>2</v>
      </c>
      <c r="M583" s="1" t="str" cm="1">
        <f t="array" ref="M583">IF(patients[[#This Row],[length_of_stay]]&gt;patients!$N$2:$N$2,"Over average","Less than average")</f>
        <v>Less than average</v>
      </c>
    </row>
    <row r="584" spans="2:13" x14ac:dyDescent="0.25">
      <c r="B584" s="1" t="s">
        <v>1173</v>
      </c>
      <c r="C584" s="1" t="s">
        <v>1174</v>
      </c>
      <c r="D584">
        <v>66</v>
      </c>
      <c r="E584" s="2">
        <v>45814</v>
      </c>
      <c r="F584" s="2">
        <v>45816</v>
      </c>
      <c r="G584" s="1" t="s">
        <v>17</v>
      </c>
      <c r="H584">
        <v>93</v>
      </c>
      <c r="I584" s="19">
        <f>patients[[#This Row],[departure_date]]-patients[[#This Row],[arrival_date]]</f>
        <v>2</v>
      </c>
      <c r="J584" t="str">
        <f>IF(patients[[#This Row],[age]] &lt; 18,"0-17",IF(patients[[#This Row],[age]] &lt; 40,"18-39",IF(patients[[#This Row],[age]] &lt; 65,"40-64","65+")))</f>
        <v>65+</v>
      </c>
      <c r="K584" s="1" t="str">
        <f>TEXT(patients[[#This Row],[arrival_date]],"[$-409]mmmm")</f>
        <v>June</v>
      </c>
      <c r="L584" s="1">
        <f>MATCH(K584, {"January";"February";"March";"April";"May";"June";"July";"August";"September";"October";"November";"December"}, 0)</f>
        <v>6</v>
      </c>
      <c r="M584" s="1" t="str" cm="1">
        <f t="array" ref="M584">IF(patients[[#This Row],[length_of_stay]]&gt;patients!$N$2:$N$2,"Over average","Less than average")</f>
        <v>Less than average</v>
      </c>
    </row>
    <row r="585" spans="2:13" x14ac:dyDescent="0.25">
      <c r="B585" s="1" t="s">
        <v>1175</v>
      </c>
      <c r="C585" s="1" t="s">
        <v>1176</v>
      </c>
      <c r="D585">
        <v>27</v>
      </c>
      <c r="E585" s="2">
        <v>45736</v>
      </c>
      <c r="F585" s="2">
        <v>45748</v>
      </c>
      <c r="G585" s="1" t="s">
        <v>17</v>
      </c>
      <c r="H585">
        <v>82</v>
      </c>
      <c r="I585" s="19">
        <f>patients[[#This Row],[departure_date]]-patients[[#This Row],[arrival_date]]</f>
        <v>12</v>
      </c>
      <c r="J585" t="str">
        <f>IF(patients[[#This Row],[age]] &lt; 18,"0-17",IF(patients[[#This Row],[age]] &lt; 40,"18-39",IF(patients[[#This Row],[age]] &lt; 65,"40-64","65+")))</f>
        <v>18-39</v>
      </c>
      <c r="K585" s="1" t="str">
        <f>TEXT(patients[[#This Row],[arrival_date]],"[$-409]mmmm")</f>
        <v>March</v>
      </c>
      <c r="L585" s="1">
        <f>MATCH(K585, {"January";"February";"March";"April";"May";"June";"July";"August";"September";"October";"November";"December"}, 0)</f>
        <v>3</v>
      </c>
      <c r="M585" s="1" t="str" cm="1">
        <f t="array" ref="M585">IF(patients[[#This Row],[length_of_stay]]&gt;patients!$N$2:$N$2,"Over average","Less than average")</f>
        <v>Over average</v>
      </c>
    </row>
    <row r="586" spans="2:13" x14ac:dyDescent="0.25">
      <c r="B586" s="1" t="s">
        <v>1177</v>
      </c>
      <c r="C586" s="1" t="s">
        <v>1178</v>
      </c>
      <c r="D586">
        <v>43</v>
      </c>
      <c r="E586" s="2">
        <v>45661</v>
      </c>
      <c r="F586" s="2">
        <v>45671</v>
      </c>
      <c r="G586" s="1" t="s">
        <v>9</v>
      </c>
      <c r="H586">
        <v>99</v>
      </c>
      <c r="I586" s="19">
        <f>patients[[#This Row],[departure_date]]-patients[[#This Row],[arrival_date]]</f>
        <v>10</v>
      </c>
      <c r="J586" t="str">
        <f>IF(patients[[#This Row],[age]] &lt; 18,"0-17",IF(patients[[#This Row],[age]] &lt; 40,"18-39",IF(patients[[#This Row],[age]] &lt; 65,"40-64","65+")))</f>
        <v>40-64</v>
      </c>
      <c r="K586" s="1" t="str">
        <f>TEXT(patients[[#This Row],[arrival_date]],"[$-409]mmmm")</f>
        <v>January</v>
      </c>
      <c r="L586" s="1">
        <f>MATCH(K586, {"January";"February";"March";"April";"May";"June";"July";"August";"September";"October";"November";"December"}, 0)</f>
        <v>1</v>
      </c>
      <c r="M586" s="1" t="str" cm="1">
        <f t="array" ref="M586">IF(patients[[#This Row],[length_of_stay]]&gt;patients!$N$2:$N$2,"Over average","Less than average")</f>
        <v>Over average</v>
      </c>
    </row>
    <row r="587" spans="2:13" x14ac:dyDescent="0.25">
      <c r="B587" s="1" t="s">
        <v>1179</v>
      </c>
      <c r="C587" s="1" t="s">
        <v>1180</v>
      </c>
      <c r="D587">
        <v>8</v>
      </c>
      <c r="E587" s="2">
        <v>45790</v>
      </c>
      <c r="F587" s="2">
        <v>45798</v>
      </c>
      <c r="G587" s="1" t="s">
        <v>14</v>
      </c>
      <c r="H587">
        <v>91</v>
      </c>
      <c r="I587" s="19">
        <f>patients[[#This Row],[departure_date]]-patients[[#This Row],[arrival_date]]</f>
        <v>8</v>
      </c>
      <c r="J587" t="str">
        <f>IF(patients[[#This Row],[age]] &lt; 18,"0-17",IF(patients[[#This Row],[age]] &lt; 40,"18-39",IF(patients[[#This Row],[age]] &lt; 65,"40-64","65+")))</f>
        <v>0-17</v>
      </c>
      <c r="K587" s="1" t="str">
        <f>TEXT(patients[[#This Row],[arrival_date]],"[$-409]mmmm")</f>
        <v>May</v>
      </c>
      <c r="L587" s="1">
        <f>MATCH(K587, {"January";"February";"March";"April";"May";"June";"July";"August";"September";"October";"November";"December"}, 0)</f>
        <v>5</v>
      </c>
      <c r="M587" s="1" t="str" cm="1">
        <f t="array" ref="M587">IF(patients[[#This Row],[length_of_stay]]&gt;patients!$N$2:$N$2,"Over average","Less than average")</f>
        <v>Over average</v>
      </c>
    </row>
    <row r="588" spans="2:13" x14ac:dyDescent="0.25">
      <c r="B588" s="1" t="s">
        <v>1181</v>
      </c>
      <c r="C588" s="1" t="s">
        <v>1182</v>
      </c>
      <c r="D588">
        <v>83</v>
      </c>
      <c r="E588" s="2">
        <v>45988</v>
      </c>
      <c r="F588" s="2">
        <v>46000</v>
      </c>
      <c r="G588" s="1" t="s">
        <v>9</v>
      </c>
      <c r="H588">
        <v>81</v>
      </c>
      <c r="I588" s="19">
        <f>patients[[#This Row],[departure_date]]-patients[[#This Row],[arrival_date]]</f>
        <v>12</v>
      </c>
      <c r="J588" t="str">
        <f>IF(patients[[#This Row],[age]] &lt; 18,"0-17",IF(patients[[#This Row],[age]] &lt; 40,"18-39",IF(patients[[#This Row],[age]] &lt; 65,"40-64","65+")))</f>
        <v>65+</v>
      </c>
      <c r="K588" s="1" t="str">
        <f>TEXT(patients[[#This Row],[arrival_date]],"[$-409]mmmm")</f>
        <v>November</v>
      </c>
      <c r="L588" s="1">
        <f>MATCH(K588, {"January";"February";"March";"April";"May";"June";"July";"August";"September";"October";"November";"December"}, 0)</f>
        <v>11</v>
      </c>
      <c r="M588" s="1" t="str" cm="1">
        <f t="array" ref="M588">IF(patients[[#This Row],[length_of_stay]]&gt;patients!$N$2:$N$2,"Over average","Less than average")</f>
        <v>Over average</v>
      </c>
    </row>
    <row r="589" spans="2:13" x14ac:dyDescent="0.25">
      <c r="B589" s="1" t="s">
        <v>1183</v>
      </c>
      <c r="C589" s="1" t="s">
        <v>1184</v>
      </c>
      <c r="D589">
        <v>16</v>
      </c>
      <c r="E589" s="2">
        <v>45747</v>
      </c>
      <c r="F589" s="2">
        <v>45759</v>
      </c>
      <c r="G589" s="1" t="s">
        <v>14</v>
      </c>
      <c r="H589">
        <v>66</v>
      </c>
      <c r="I589" s="19">
        <f>patients[[#This Row],[departure_date]]-patients[[#This Row],[arrival_date]]</f>
        <v>12</v>
      </c>
      <c r="J589" t="str">
        <f>IF(patients[[#This Row],[age]] &lt; 18,"0-17",IF(patients[[#This Row],[age]] &lt; 40,"18-39",IF(patients[[#This Row],[age]] &lt; 65,"40-64","65+")))</f>
        <v>0-17</v>
      </c>
      <c r="K589" s="1" t="str">
        <f>TEXT(patients[[#This Row],[arrival_date]],"[$-409]mmmm")</f>
        <v>March</v>
      </c>
      <c r="L589" s="1">
        <f>MATCH(K589, {"January";"February";"March";"April";"May";"June";"July";"August";"September";"October";"November";"December"}, 0)</f>
        <v>3</v>
      </c>
      <c r="M589" s="1" t="str" cm="1">
        <f t="array" ref="M589">IF(patients[[#This Row],[length_of_stay]]&gt;patients!$N$2:$N$2,"Over average","Less than average")</f>
        <v>Over average</v>
      </c>
    </row>
    <row r="590" spans="2:13" x14ac:dyDescent="0.25">
      <c r="B590" s="1" t="s">
        <v>1185</v>
      </c>
      <c r="C590" s="1" t="s">
        <v>1186</v>
      </c>
      <c r="D590">
        <v>56</v>
      </c>
      <c r="E590" s="2">
        <v>45682</v>
      </c>
      <c r="F590" s="2">
        <v>45692</v>
      </c>
      <c r="G590" s="1" t="s">
        <v>9</v>
      </c>
      <c r="H590">
        <v>78</v>
      </c>
      <c r="I590" s="19">
        <f>patients[[#This Row],[departure_date]]-patients[[#This Row],[arrival_date]]</f>
        <v>10</v>
      </c>
      <c r="J590" t="str">
        <f>IF(patients[[#This Row],[age]] &lt; 18,"0-17",IF(patients[[#This Row],[age]] &lt; 40,"18-39",IF(patients[[#This Row],[age]] &lt; 65,"40-64","65+")))</f>
        <v>40-64</v>
      </c>
      <c r="K590" s="1" t="str">
        <f>TEXT(patients[[#This Row],[arrival_date]],"[$-409]mmmm")</f>
        <v>January</v>
      </c>
      <c r="L590" s="1">
        <f>MATCH(K590, {"January";"February";"March";"April";"May";"June";"July";"August";"September";"October";"November";"December"}, 0)</f>
        <v>1</v>
      </c>
      <c r="M590" s="1" t="str" cm="1">
        <f t="array" ref="M590">IF(patients[[#This Row],[length_of_stay]]&gt;patients!$N$2:$N$2,"Over average","Less than average")</f>
        <v>Over average</v>
      </c>
    </row>
    <row r="591" spans="2:13" x14ac:dyDescent="0.25">
      <c r="B591" s="1" t="s">
        <v>1187</v>
      </c>
      <c r="C591" s="1" t="s">
        <v>1188</v>
      </c>
      <c r="D591">
        <v>10</v>
      </c>
      <c r="E591" s="2">
        <v>45838</v>
      </c>
      <c r="F591" s="2">
        <v>45846</v>
      </c>
      <c r="G591" s="1" t="s">
        <v>17</v>
      </c>
      <c r="H591">
        <v>99</v>
      </c>
      <c r="I591" s="19">
        <f>patients[[#This Row],[departure_date]]-patients[[#This Row],[arrival_date]]</f>
        <v>8</v>
      </c>
      <c r="J591" t="str">
        <f>IF(patients[[#This Row],[age]] &lt; 18,"0-17",IF(patients[[#This Row],[age]] &lt; 40,"18-39",IF(patients[[#This Row],[age]] &lt; 65,"40-64","65+")))</f>
        <v>0-17</v>
      </c>
      <c r="K591" s="1" t="str">
        <f>TEXT(patients[[#This Row],[arrival_date]],"[$-409]mmmm")</f>
        <v>June</v>
      </c>
      <c r="L591" s="1">
        <f>MATCH(K591, {"January";"February";"March";"April";"May";"June";"July";"August";"September";"October";"November";"December"}, 0)</f>
        <v>6</v>
      </c>
      <c r="M591" s="1" t="str" cm="1">
        <f t="array" ref="M591">IF(patients[[#This Row],[length_of_stay]]&gt;patients!$N$2:$N$2,"Over average","Less than average")</f>
        <v>Over average</v>
      </c>
    </row>
    <row r="592" spans="2:13" x14ac:dyDescent="0.25">
      <c r="B592" s="1" t="s">
        <v>1189</v>
      </c>
      <c r="C592" s="1" t="s">
        <v>1190</v>
      </c>
      <c r="D592">
        <v>67</v>
      </c>
      <c r="E592" s="2">
        <v>46008</v>
      </c>
      <c r="F592" s="2">
        <v>46020</v>
      </c>
      <c r="G592" s="1" t="s">
        <v>14</v>
      </c>
      <c r="H592">
        <v>70</v>
      </c>
      <c r="I592" s="19">
        <f>patients[[#This Row],[departure_date]]-patients[[#This Row],[arrival_date]]</f>
        <v>12</v>
      </c>
      <c r="J592" t="str">
        <f>IF(patients[[#This Row],[age]] &lt; 18,"0-17",IF(patients[[#This Row],[age]] &lt; 40,"18-39",IF(patients[[#This Row],[age]] &lt; 65,"40-64","65+")))</f>
        <v>65+</v>
      </c>
      <c r="K592" s="1" t="str">
        <f>TEXT(patients[[#This Row],[arrival_date]],"[$-409]mmmm")</f>
        <v>December</v>
      </c>
      <c r="L592" s="1">
        <f>MATCH(K592, {"January";"February";"March";"April";"May";"June";"July";"August";"September";"October";"November";"December"}, 0)</f>
        <v>12</v>
      </c>
      <c r="M592" s="1" t="str" cm="1">
        <f t="array" ref="M592">IF(patients[[#This Row],[length_of_stay]]&gt;patients!$N$2:$N$2,"Over average","Less than average")</f>
        <v>Over average</v>
      </c>
    </row>
    <row r="593" spans="2:13" x14ac:dyDescent="0.25">
      <c r="B593" s="1" t="s">
        <v>1191</v>
      </c>
      <c r="C593" s="1" t="s">
        <v>1192</v>
      </c>
      <c r="D593">
        <v>64</v>
      </c>
      <c r="E593" s="2">
        <v>45832</v>
      </c>
      <c r="F593" s="2">
        <v>45836</v>
      </c>
      <c r="G593" s="1" t="s">
        <v>17</v>
      </c>
      <c r="H593">
        <v>97</v>
      </c>
      <c r="I593" s="19">
        <f>patients[[#This Row],[departure_date]]-patients[[#This Row],[arrival_date]]</f>
        <v>4</v>
      </c>
      <c r="J593" t="str">
        <f>IF(patients[[#This Row],[age]] &lt; 18,"0-17",IF(patients[[#This Row],[age]] &lt; 40,"18-39",IF(patients[[#This Row],[age]] &lt; 65,"40-64","65+")))</f>
        <v>40-64</v>
      </c>
      <c r="K593" s="1" t="str">
        <f>TEXT(patients[[#This Row],[arrival_date]],"[$-409]mmmm")</f>
        <v>June</v>
      </c>
      <c r="L593" s="1">
        <f>MATCH(K593, {"January";"February";"March";"April";"May";"June";"July";"August";"September";"October";"November";"December"}, 0)</f>
        <v>6</v>
      </c>
      <c r="M593" s="1" t="str" cm="1">
        <f t="array" ref="M593">IF(patients[[#This Row],[length_of_stay]]&gt;patients!$N$2:$N$2,"Over average","Less than average")</f>
        <v>Less than average</v>
      </c>
    </row>
    <row r="594" spans="2:13" x14ac:dyDescent="0.25">
      <c r="B594" s="1" t="s">
        <v>1193</v>
      </c>
      <c r="C594" s="1" t="s">
        <v>1194</v>
      </c>
      <c r="D594">
        <v>87</v>
      </c>
      <c r="E594" s="2">
        <v>45845</v>
      </c>
      <c r="F594" s="2">
        <v>45854</v>
      </c>
      <c r="G594" s="1" t="s">
        <v>9</v>
      </c>
      <c r="H594">
        <v>90</v>
      </c>
      <c r="I594" s="19">
        <f>patients[[#This Row],[departure_date]]-patients[[#This Row],[arrival_date]]</f>
        <v>9</v>
      </c>
      <c r="J594" t="str">
        <f>IF(patients[[#This Row],[age]] &lt; 18,"0-17",IF(patients[[#This Row],[age]] &lt; 40,"18-39",IF(patients[[#This Row],[age]] &lt; 65,"40-64","65+")))</f>
        <v>65+</v>
      </c>
      <c r="K594" s="1" t="str">
        <f>TEXT(patients[[#This Row],[arrival_date]],"[$-409]mmmm")</f>
        <v>July</v>
      </c>
      <c r="L594" s="1">
        <f>MATCH(K594, {"January";"February";"March";"April";"May";"June";"July";"August";"September";"October";"November";"December"}, 0)</f>
        <v>7</v>
      </c>
      <c r="M594" s="1" t="str" cm="1">
        <f t="array" ref="M594">IF(patients[[#This Row],[length_of_stay]]&gt;patients!$N$2:$N$2,"Over average","Less than average")</f>
        <v>Over average</v>
      </c>
    </row>
    <row r="595" spans="2:13" x14ac:dyDescent="0.25">
      <c r="B595" s="1" t="s">
        <v>1195</v>
      </c>
      <c r="C595" s="1" t="s">
        <v>1196</v>
      </c>
      <c r="D595">
        <v>45</v>
      </c>
      <c r="E595" s="2">
        <v>45939</v>
      </c>
      <c r="F595" s="2">
        <v>45940</v>
      </c>
      <c r="G595" s="1" t="s">
        <v>9</v>
      </c>
      <c r="H595">
        <v>64</v>
      </c>
      <c r="I595" s="19">
        <f>patients[[#This Row],[departure_date]]-patients[[#This Row],[arrival_date]]</f>
        <v>1</v>
      </c>
      <c r="J595" t="str">
        <f>IF(patients[[#This Row],[age]] &lt; 18,"0-17",IF(patients[[#This Row],[age]] &lt; 40,"18-39",IF(patients[[#This Row],[age]] &lt; 65,"40-64","65+")))</f>
        <v>40-64</v>
      </c>
      <c r="K595" s="1" t="str">
        <f>TEXT(patients[[#This Row],[arrival_date]],"[$-409]mmmm")</f>
        <v>October</v>
      </c>
      <c r="L595" s="1">
        <f>MATCH(K595, {"January";"February";"March";"April";"May";"June";"July";"August";"September";"October";"November";"December"}, 0)</f>
        <v>10</v>
      </c>
      <c r="M595" s="1" t="str" cm="1">
        <f t="array" ref="M595">IF(patients[[#This Row],[length_of_stay]]&gt;patients!$N$2:$N$2,"Over average","Less than average")</f>
        <v>Less than average</v>
      </c>
    </row>
    <row r="596" spans="2:13" x14ac:dyDescent="0.25">
      <c r="B596" s="1" t="s">
        <v>1197</v>
      </c>
      <c r="C596" s="1" t="s">
        <v>1198</v>
      </c>
      <c r="D596">
        <v>83</v>
      </c>
      <c r="E596" s="2">
        <v>46018</v>
      </c>
      <c r="F596" s="2">
        <v>46029</v>
      </c>
      <c r="G596" s="1" t="s">
        <v>20</v>
      </c>
      <c r="H596">
        <v>92</v>
      </c>
      <c r="I596" s="19">
        <f>patients[[#This Row],[departure_date]]-patients[[#This Row],[arrival_date]]</f>
        <v>11</v>
      </c>
      <c r="J596" t="str">
        <f>IF(patients[[#This Row],[age]] &lt; 18,"0-17",IF(patients[[#This Row],[age]] &lt; 40,"18-39",IF(patients[[#This Row],[age]] &lt; 65,"40-64","65+")))</f>
        <v>65+</v>
      </c>
      <c r="K596" s="1" t="str">
        <f>TEXT(patients[[#This Row],[arrival_date]],"[$-409]mmmm")</f>
        <v>December</v>
      </c>
      <c r="L596" s="1">
        <f>MATCH(K596, {"January";"February";"March";"April";"May";"June";"July";"August";"September";"October";"November";"December"}, 0)</f>
        <v>12</v>
      </c>
      <c r="M596" s="1" t="str" cm="1">
        <f t="array" ref="M596">IF(patients[[#This Row],[length_of_stay]]&gt;patients!$N$2:$N$2,"Over average","Less than average")</f>
        <v>Over average</v>
      </c>
    </row>
    <row r="597" spans="2:13" x14ac:dyDescent="0.25">
      <c r="B597" s="1" t="s">
        <v>1199</v>
      </c>
      <c r="C597" s="1" t="s">
        <v>1200</v>
      </c>
      <c r="D597">
        <v>49</v>
      </c>
      <c r="E597" s="2">
        <v>45883</v>
      </c>
      <c r="F597" s="2">
        <v>45896</v>
      </c>
      <c r="G597" s="1" t="s">
        <v>9</v>
      </c>
      <c r="H597">
        <v>80</v>
      </c>
      <c r="I597" s="19">
        <f>patients[[#This Row],[departure_date]]-patients[[#This Row],[arrival_date]]</f>
        <v>13</v>
      </c>
      <c r="J597" t="str">
        <f>IF(patients[[#This Row],[age]] &lt; 18,"0-17",IF(patients[[#This Row],[age]] &lt; 40,"18-39",IF(patients[[#This Row],[age]] &lt; 65,"40-64","65+")))</f>
        <v>40-64</v>
      </c>
      <c r="K597" s="1" t="str">
        <f>TEXT(patients[[#This Row],[arrival_date]],"[$-409]mmmm")</f>
        <v>August</v>
      </c>
      <c r="L597" s="1">
        <f>MATCH(K597, {"January";"February";"March";"April";"May";"June";"July";"August";"September";"October";"November";"December"}, 0)</f>
        <v>8</v>
      </c>
      <c r="M597" s="1" t="str" cm="1">
        <f t="array" ref="M597">IF(patients[[#This Row],[length_of_stay]]&gt;patients!$N$2:$N$2,"Over average","Less than average")</f>
        <v>Over average</v>
      </c>
    </row>
    <row r="598" spans="2:13" x14ac:dyDescent="0.25">
      <c r="B598" s="1" t="s">
        <v>1201</v>
      </c>
      <c r="C598" s="1" t="s">
        <v>1202</v>
      </c>
      <c r="D598">
        <v>45</v>
      </c>
      <c r="E598" s="2">
        <v>45951</v>
      </c>
      <c r="F598" s="2">
        <v>45965</v>
      </c>
      <c r="G598" s="1" t="s">
        <v>17</v>
      </c>
      <c r="H598">
        <v>81</v>
      </c>
      <c r="I598" s="19">
        <f>patients[[#This Row],[departure_date]]-patients[[#This Row],[arrival_date]]</f>
        <v>14</v>
      </c>
      <c r="J598" t="str">
        <f>IF(patients[[#This Row],[age]] &lt; 18,"0-17",IF(patients[[#This Row],[age]] &lt; 40,"18-39",IF(patients[[#This Row],[age]] &lt; 65,"40-64","65+")))</f>
        <v>40-64</v>
      </c>
      <c r="K598" s="1" t="str">
        <f>TEXT(patients[[#This Row],[arrival_date]],"[$-409]mmmm")</f>
        <v>October</v>
      </c>
      <c r="L598" s="1">
        <f>MATCH(K598, {"January";"February";"March";"April";"May";"June";"July";"August";"September";"October";"November";"December"}, 0)</f>
        <v>10</v>
      </c>
      <c r="M598" s="1" t="str" cm="1">
        <f t="array" ref="M598">IF(patients[[#This Row],[length_of_stay]]&gt;patients!$N$2:$N$2,"Over average","Less than average")</f>
        <v>Over average</v>
      </c>
    </row>
    <row r="599" spans="2:13" x14ac:dyDescent="0.25">
      <c r="B599" s="1" t="s">
        <v>1203</v>
      </c>
      <c r="C599" s="1" t="s">
        <v>1204</v>
      </c>
      <c r="D599">
        <v>61</v>
      </c>
      <c r="E599" s="2">
        <v>45735</v>
      </c>
      <c r="F599" s="2">
        <v>45745</v>
      </c>
      <c r="G599" s="1" t="s">
        <v>9</v>
      </c>
      <c r="H599">
        <v>72</v>
      </c>
      <c r="I599" s="19">
        <f>patients[[#This Row],[departure_date]]-patients[[#This Row],[arrival_date]]</f>
        <v>10</v>
      </c>
      <c r="J599" t="str">
        <f>IF(patients[[#This Row],[age]] &lt; 18,"0-17",IF(patients[[#This Row],[age]] &lt; 40,"18-39",IF(patients[[#This Row],[age]] &lt; 65,"40-64","65+")))</f>
        <v>40-64</v>
      </c>
      <c r="K599" s="1" t="str">
        <f>TEXT(patients[[#This Row],[arrival_date]],"[$-409]mmmm")</f>
        <v>March</v>
      </c>
      <c r="L599" s="1">
        <f>MATCH(K599, {"January";"February";"March";"April";"May";"June";"July";"August";"September";"October";"November";"December"}, 0)</f>
        <v>3</v>
      </c>
      <c r="M599" s="1" t="str" cm="1">
        <f t="array" ref="M599">IF(patients[[#This Row],[length_of_stay]]&gt;patients!$N$2:$N$2,"Over average","Less than average")</f>
        <v>Over average</v>
      </c>
    </row>
    <row r="600" spans="2:13" x14ac:dyDescent="0.25">
      <c r="B600" s="1" t="s">
        <v>1205</v>
      </c>
      <c r="C600" s="1" t="s">
        <v>1206</v>
      </c>
      <c r="D600">
        <v>2</v>
      </c>
      <c r="E600" s="2">
        <v>45663</v>
      </c>
      <c r="F600" s="2">
        <v>45676</v>
      </c>
      <c r="G600" s="1" t="s">
        <v>9</v>
      </c>
      <c r="H600">
        <v>67</v>
      </c>
      <c r="I600" s="19">
        <f>patients[[#This Row],[departure_date]]-patients[[#This Row],[arrival_date]]</f>
        <v>13</v>
      </c>
      <c r="J600" t="str">
        <f>IF(patients[[#This Row],[age]] &lt; 18,"0-17",IF(patients[[#This Row],[age]] &lt; 40,"18-39",IF(patients[[#This Row],[age]] &lt; 65,"40-64","65+")))</f>
        <v>0-17</v>
      </c>
      <c r="K600" s="1" t="str">
        <f>TEXT(patients[[#This Row],[arrival_date]],"[$-409]mmmm")</f>
        <v>January</v>
      </c>
      <c r="L600" s="1">
        <f>MATCH(K600, {"January";"February";"March";"April";"May";"June";"July";"August";"September";"October";"November";"December"}, 0)</f>
        <v>1</v>
      </c>
      <c r="M600" s="1" t="str" cm="1">
        <f t="array" ref="M600">IF(patients[[#This Row],[length_of_stay]]&gt;patients!$N$2:$N$2,"Over average","Less than average")</f>
        <v>Over average</v>
      </c>
    </row>
    <row r="601" spans="2:13" x14ac:dyDescent="0.25">
      <c r="B601" s="1" t="s">
        <v>1207</v>
      </c>
      <c r="C601" s="1" t="s">
        <v>1208</v>
      </c>
      <c r="D601">
        <v>43</v>
      </c>
      <c r="E601" s="2">
        <v>45892</v>
      </c>
      <c r="F601" s="2">
        <v>45904</v>
      </c>
      <c r="G601" s="1" t="s">
        <v>17</v>
      </c>
      <c r="H601">
        <v>92</v>
      </c>
      <c r="I601" s="19">
        <f>patients[[#This Row],[departure_date]]-patients[[#This Row],[arrival_date]]</f>
        <v>12</v>
      </c>
      <c r="J601" t="str">
        <f>IF(patients[[#This Row],[age]] &lt; 18,"0-17",IF(patients[[#This Row],[age]] &lt; 40,"18-39",IF(patients[[#This Row],[age]] &lt; 65,"40-64","65+")))</f>
        <v>40-64</v>
      </c>
      <c r="K601" s="1" t="str">
        <f>TEXT(patients[[#This Row],[arrival_date]],"[$-409]mmmm")</f>
        <v>August</v>
      </c>
      <c r="L601" s="1">
        <f>MATCH(K601, {"January";"February";"March";"April";"May";"June";"July";"August";"September";"October";"November";"December"}, 0)</f>
        <v>8</v>
      </c>
      <c r="M601" s="1" t="str" cm="1">
        <f t="array" ref="M601">IF(patients[[#This Row],[length_of_stay]]&gt;patients!$N$2:$N$2,"Over average","Less than average")</f>
        <v>Over average</v>
      </c>
    </row>
    <row r="602" spans="2:13" x14ac:dyDescent="0.25">
      <c r="B602" s="1" t="s">
        <v>1209</v>
      </c>
      <c r="C602" s="1" t="s">
        <v>1210</v>
      </c>
      <c r="D602">
        <v>80</v>
      </c>
      <c r="E602" s="2">
        <v>45988</v>
      </c>
      <c r="F602" s="2">
        <v>46001</v>
      </c>
      <c r="G602" s="1" t="s">
        <v>20</v>
      </c>
      <c r="H602">
        <v>70</v>
      </c>
      <c r="I602" s="19">
        <f>patients[[#This Row],[departure_date]]-patients[[#This Row],[arrival_date]]</f>
        <v>13</v>
      </c>
      <c r="J602" t="str">
        <f>IF(patients[[#This Row],[age]] &lt; 18,"0-17",IF(patients[[#This Row],[age]] &lt; 40,"18-39",IF(patients[[#This Row],[age]] &lt; 65,"40-64","65+")))</f>
        <v>65+</v>
      </c>
      <c r="K602" s="1" t="str">
        <f>TEXT(patients[[#This Row],[arrival_date]],"[$-409]mmmm")</f>
        <v>November</v>
      </c>
      <c r="L602" s="1">
        <f>MATCH(K602, {"January";"February";"March";"April";"May";"June";"July";"August";"September";"October";"November";"December"}, 0)</f>
        <v>11</v>
      </c>
      <c r="M602" s="1" t="str" cm="1">
        <f t="array" ref="M602">IF(patients[[#This Row],[length_of_stay]]&gt;patients!$N$2:$N$2,"Over average","Less than average")</f>
        <v>Over average</v>
      </c>
    </row>
    <row r="603" spans="2:13" x14ac:dyDescent="0.25">
      <c r="B603" s="1" t="s">
        <v>1211</v>
      </c>
      <c r="C603" s="1" t="s">
        <v>1212</v>
      </c>
      <c r="D603">
        <v>27</v>
      </c>
      <c r="E603" s="2">
        <v>45727</v>
      </c>
      <c r="F603" s="2">
        <v>45736</v>
      </c>
      <c r="G603" s="1" t="s">
        <v>20</v>
      </c>
      <c r="H603">
        <v>75</v>
      </c>
      <c r="I603" s="19">
        <f>patients[[#This Row],[departure_date]]-patients[[#This Row],[arrival_date]]</f>
        <v>9</v>
      </c>
      <c r="J603" t="str">
        <f>IF(patients[[#This Row],[age]] &lt; 18,"0-17",IF(patients[[#This Row],[age]] &lt; 40,"18-39",IF(patients[[#This Row],[age]] &lt; 65,"40-64","65+")))</f>
        <v>18-39</v>
      </c>
      <c r="K603" s="1" t="str">
        <f>TEXT(patients[[#This Row],[arrival_date]],"[$-409]mmmm")</f>
        <v>March</v>
      </c>
      <c r="L603" s="1">
        <f>MATCH(K603, {"January";"February";"March";"April";"May";"June";"July";"August";"September";"October";"November";"December"}, 0)</f>
        <v>3</v>
      </c>
      <c r="M603" s="1" t="str" cm="1">
        <f t="array" ref="M603">IF(patients[[#This Row],[length_of_stay]]&gt;patients!$N$2:$N$2,"Over average","Less than average")</f>
        <v>Over average</v>
      </c>
    </row>
    <row r="604" spans="2:13" x14ac:dyDescent="0.25">
      <c r="B604" s="1" t="s">
        <v>1213</v>
      </c>
      <c r="C604" s="1" t="s">
        <v>1214</v>
      </c>
      <c r="D604">
        <v>67</v>
      </c>
      <c r="E604" s="2">
        <v>45909</v>
      </c>
      <c r="F604" s="2">
        <v>45917</v>
      </c>
      <c r="G604" s="1" t="s">
        <v>14</v>
      </c>
      <c r="H604">
        <v>85</v>
      </c>
      <c r="I604" s="19">
        <f>patients[[#This Row],[departure_date]]-patients[[#This Row],[arrival_date]]</f>
        <v>8</v>
      </c>
      <c r="J604" t="str">
        <f>IF(patients[[#This Row],[age]] &lt; 18,"0-17",IF(patients[[#This Row],[age]] &lt; 40,"18-39",IF(patients[[#This Row],[age]] &lt; 65,"40-64","65+")))</f>
        <v>65+</v>
      </c>
      <c r="K604" s="1" t="str">
        <f>TEXT(patients[[#This Row],[arrival_date]],"[$-409]mmmm")</f>
        <v>September</v>
      </c>
      <c r="L604" s="1">
        <f>MATCH(K604, {"January";"February";"March";"April";"May";"June";"July";"August";"September";"October";"November";"December"}, 0)</f>
        <v>9</v>
      </c>
      <c r="M604" s="1" t="str" cm="1">
        <f t="array" ref="M604">IF(patients[[#This Row],[length_of_stay]]&gt;patients!$N$2:$N$2,"Over average","Less than average")</f>
        <v>Over average</v>
      </c>
    </row>
    <row r="605" spans="2:13" x14ac:dyDescent="0.25">
      <c r="B605" s="1" t="s">
        <v>1215</v>
      </c>
      <c r="C605" s="1" t="s">
        <v>1216</v>
      </c>
      <c r="D605">
        <v>61</v>
      </c>
      <c r="E605" s="2">
        <v>45989</v>
      </c>
      <c r="F605" s="2">
        <v>46000</v>
      </c>
      <c r="G605" s="1" t="s">
        <v>17</v>
      </c>
      <c r="H605">
        <v>96</v>
      </c>
      <c r="I605" s="19">
        <f>patients[[#This Row],[departure_date]]-patients[[#This Row],[arrival_date]]</f>
        <v>11</v>
      </c>
      <c r="J605" t="str">
        <f>IF(patients[[#This Row],[age]] &lt; 18,"0-17",IF(patients[[#This Row],[age]] &lt; 40,"18-39",IF(patients[[#This Row],[age]] &lt; 65,"40-64","65+")))</f>
        <v>40-64</v>
      </c>
      <c r="K605" s="1" t="str">
        <f>TEXT(patients[[#This Row],[arrival_date]],"[$-409]mmmm")</f>
        <v>November</v>
      </c>
      <c r="L605" s="1">
        <f>MATCH(K605, {"January";"February";"March";"April";"May";"June";"July";"August";"September";"October";"November";"December"}, 0)</f>
        <v>11</v>
      </c>
      <c r="M605" s="1" t="str" cm="1">
        <f t="array" ref="M605">IF(patients[[#This Row],[length_of_stay]]&gt;patients!$N$2:$N$2,"Over average","Less than average")</f>
        <v>Over average</v>
      </c>
    </row>
    <row r="606" spans="2:13" x14ac:dyDescent="0.25">
      <c r="B606" s="1" t="s">
        <v>1217</v>
      </c>
      <c r="C606" s="1" t="s">
        <v>1218</v>
      </c>
      <c r="D606">
        <v>88</v>
      </c>
      <c r="E606" s="2">
        <v>45676</v>
      </c>
      <c r="F606" s="2">
        <v>45683</v>
      </c>
      <c r="G606" s="1" t="s">
        <v>9</v>
      </c>
      <c r="H606">
        <v>97</v>
      </c>
      <c r="I606" s="19">
        <f>patients[[#This Row],[departure_date]]-patients[[#This Row],[arrival_date]]</f>
        <v>7</v>
      </c>
      <c r="J606" t="str">
        <f>IF(patients[[#This Row],[age]] &lt; 18,"0-17",IF(patients[[#This Row],[age]] &lt; 40,"18-39",IF(patients[[#This Row],[age]] &lt; 65,"40-64","65+")))</f>
        <v>65+</v>
      </c>
      <c r="K606" s="1" t="str">
        <f>TEXT(patients[[#This Row],[arrival_date]],"[$-409]mmmm")</f>
        <v>January</v>
      </c>
      <c r="L606" s="1">
        <f>MATCH(K606, {"January";"February";"March";"April";"May";"June";"July";"August";"September";"October";"November";"December"}, 0)</f>
        <v>1</v>
      </c>
      <c r="M606" s="1" t="str" cm="1">
        <f t="array" ref="M606">IF(patients[[#This Row],[length_of_stay]]&gt;patients!$N$2:$N$2,"Over average","Less than average")</f>
        <v>Less than average</v>
      </c>
    </row>
    <row r="607" spans="2:13" x14ac:dyDescent="0.25">
      <c r="B607" s="1" t="s">
        <v>1219</v>
      </c>
      <c r="C607" s="1" t="s">
        <v>1220</v>
      </c>
      <c r="D607">
        <v>81</v>
      </c>
      <c r="E607" s="2">
        <v>45917</v>
      </c>
      <c r="F607" s="2">
        <v>45929</v>
      </c>
      <c r="G607" s="1" t="s">
        <v>9</v>
      </c>
      <c r="H607">
        <v>88</v>
      </c>
      <c r="I607" s="19">
        <f>patients[[#This Row],[departure_date]]-patients[[#This Row],[arrival_date]]</f>
        <v>12</v>
      </c>
      <c r="J607" t="str">
        <f>IF(patients[[#This Row],[age]] &lt; 18,"0-17",IF(patients[[#This Row],[age]] &lt; 40,"18-39",IF(patients[[#This Row],[age]] &lt; 65,"40-64","65+")))</f>
        <v>65+</v>
      </c>
      <c r="K607" s="1" t="str">
        <f>TEXT(patients[[#This Row],[arrival_date]],"[$-409]mmmm")</f>
        <v>September</v>
      </c>
      <c r="L607" s="1">
        <f>MATCH(K607, {"January";"February";"March";"April";"May";"June";"July";"August";"September";"October";"November";"December"}, 0)</f>
        <v>9</v>
      </c>
      <c r="M607" s="1" t="str" cm="1">
        <f t="array" ref="M607">IF(patients[[#This Row],[length_of_stay]]&gt;patients!$N$2:$N$2,"Over average","Less than average")</f>
        <v>Over average</v>
      </c>
    </row>
    <row r="608" spans="2:13" x14ac:dyDescent="0.25">
      <c r="B608" s="1" t="s">
        <v>1221</v>
      </c>
      <c r="C608" s="1" t="s">
        <v>1222</v>
      </c>
      <c r="D608">
        <v>58</v>
      </c>
      <c r="E608" s="2">
        <v>46011</v>
      </c>
      <c r="F608" s="2">
        <v>46012</v>
      </c>
      <c r="G608" s="1" t="s">
        <v>17</v>
      </c>
      <c r="H608">
        <v>75</v>
      </c>
      <c r="I608" s="19">
        <f>patients[[#This Row],[departure_date]]-patients[[#This Row],[arrival_date]]</f>
        <v>1</v>
      </c>
      <c r="J608" t="str">
        <f>IF(patients[[#This Row],[age]] &lt; 18,"0-17",IF(patients[[#This Row],[age]] &lt; 40,"18-39",IF(patients[[#This Row],[age]] &lt; 65,"40-64","65+")))</f>
        <v>40-64</v>
      </c>
      <c r="K608" s="1" t="str">
        <f>TEXT(patients[[#This Row],[arrival_date]],"[$-409]mmmm")</f>
        <v>December</v>
      </c>
      <c r="L608" s="1">
        <f>MATCH(K608, {"January";"February";"March";"April";"May";"June";"July";"August";"September";"October";"November";"December"}, 0)</f>
        <v>12</v>
      </c>
      <c r="M608" s="1" t="str" cm="1">
        <f t="array" ref="M608">IF(patients[[#This Row],[length_of_stay]]&gt;patients!$N$2:$N$2,"Over average","Less than average")</f>
        <v>Less than average</v>
      </c>
    </row>
    <row r="609" spans="2:13" x14ac:dyDescent="0.25">
      <c r="B609" s="1" t="s">
        <v>1223</v>
      </c>
      <c r="C609" s="1" t="s">
        <v>1224</v>
      </c>
      <c r="D609">
        <v>65</v>
      </c>
      <c r="E609" s="2">
        <v>45904</v>
      </c>
      <c r="F609" s="2">
        <v>45912</v>
      </c>
      <c r="G609" s="1" t="s">
        <v>9</v>
      </c>
      <c r="H609">
        <v>72</v>
      </c>
      <c r="I609" s="19">
        <f>patients[[#This Row],[departure_date]]-patients[[#This Row],[arrival_date]]</f>
        <v>8</v>
      </c>
      <c r="J609" t="str">
        <f>IF(patients[[#This Row],[age]] &lt; 18,"0-17",IF(patients[[#This Row],[age]] &lt; 40,"18-39",IF(patients[[#This Row],[age]] &lt; 65,"40-64","65+")))</f>
        <v>65+</v>
      </c>
      <c r="K609" s="1" t="str">
        <f>TEXT(patients[[#This Row],[arrival_date]],"[$-409]mmmm")</f>
        <v>September</v>
      </c>
      <c r="L609" s="1">
        <f>MATCH(K609, {"January";"February";"March";"April";"May";"June";"July";"August";"September";"October";"November";"December"}, 0)</f>
        <v>9</v>
      </c>
      <c r="M609" s="1" t="str" cm="1">
        <f t="array" ref="M609">IF(patients[[#This Row],[length_of_stay]]&gt;patients!$N$2:$N$2,"Over average","Less than average")</f>
        <v>Over average</v>
      </c>
    </row>
    <row r="610" spans="2:13" x14ac:dyDescent="0.25">
      <c r="B610" s="1" t="s">
        <v>1225</v>
      </c>
      <c r="C610" s="1" t="s">
        <v>1226</v>
      </c>
      <c r="D610">
        <v>7</v>
      </c>
      <c r="E610" s="2">
        <v>46009</v>
      </c>
      <c r="F610" s="2">
        <v>46013</v>
      </c>
      <c r="G610" s="1" t="s">
        <v>9</v>
      </c>
      <c r="H610">
        <v>89</v>
      </c>
      <c r="I610" s="19">
        <f>patients[[#This Row],[departure_date]]-patients[[#This Row],[arrival_date]]</f>
        <v>4</v>
      </c>
      <c r="J610" t="str">
        <f>IF(patients[[#This Row],[age]] &lt; 18,"0-17",IF(patients[[#This Row],[age]] &lt; 40,"18-39",IF(patients[[#This Row],[age]] &lt; 65,"40-64","65+")))</f>
        <v>0-17</v>
      </c>
      <c r="K610" s="1" t="str">
        <f>TEXT(patients[[#This Row],[arrival_date]],"[$-409]mmmm")</f>
        <v>December</v>
      </c>
      <c r="L610" s="1">
        <f>MATCH(K610, {"January";"February";"March";"April";"May";"June";"July";"August";"September";"October";"November";"December"}, 0)</f>
        <v>12</v>
      </c>
      <c r="M610" s="1" t="str" cm="1">
        <f t="array" ref="M610">IF(patients[[#This Row],[length_of_stay]]&gt;patients!$N$2:$N$2,"Over average","Less than average")</f>
        <v>Less than average</v>
      </c>
    </row>
    <row r="611" spans="2:13" x14ac:dyDescent="0.25">
      <c r="B611" s="1" t="s">
        <v>1227</v>
      </c>
      <c r="C611" s="1" t="s">
        <v>1228</v>
      </c>
      <c r="D611">
        <v>64</v>
      </c>
      <c r="E611" s="2">
        <v>45696</v>
      </c>
      <c r="F611" s="2">
        <v>45697</v>
      </c>
      <c r="G611" s="1" t="s">
        <v>14</v>
      </c>
      <c r="H611">
        <v>79</v>
      </c>
      <c r="I611" s="19">
        <f>patients[[#This Row],[departure_date]]-patients[[#This Row],[arrival_date]]</f>
        <v>1</v>
      </c>
      <c r="J611" t="str">
        <f>IF(patients[[#This Row],[age]] &lt; 18,"0-17",IF(patients[[#This Row],[age]] &lt; 40,"18-39",IF(patients[[#This Row],[age]] &lt; 65,"40-64","65+")))</f>
        <v>40-64</v>
      </c>
      <c r="K611" s="1" t="str">
        <f>TEXT(patients[[#This Row],[arrival_date]],"[$-409]mmmm")</f>
        <v>February</v>
      </c>
      <c r="L611" s="1">
        <f>MATCH(K611, {"January";"February";"March";"April";"May";"June";"July";"August";"September";"October";"November";"December"}, 0)</f>
        <v>2</v>
      </c>
      <c r="M611" s="1" t="str" cm="1">
        <f t="array" ref="M611">IF(patients[[#This Row],[length_of_stay]]&gt;patients!$N$2:$N$2,"Over average","Less than average")</f>
        <v>Less than average</v>
      </c>
    </row>
    <row r="612" spans="2:13" x14ac:dyDescent="0.25">
      <c r="B612" s="1" t="s">
        <v>1229</v>
      </c>
      <c r="C612" s="1" t="s">
        <v>1230</v>
      </c>
      <c r="D612">
        <v>87</v>
      </c>
      <c r="E612" s="2">
        <v>45999</v>
      </c>
      <c r="F612" s="2">
        <v>46012</v>
      </c>
      <c r="G612" s="1" t="s">
        <v>9</v>
      </c>
      <c r="H612">
        <v>81</v>
      </c>
      <c r="I612" s="19">
        <f>patients[[#This Row],[departure_date]]-patients[[#This Row],[arrival_date]]</f>
        <v>13</v>
      </c>
      <c r="J612" t="str">
        <f>IF(patients[[#This Row],[age]] &lt; 18,"0-17",IF(patients[[#This Row],[age]] &lt; 40,"18-39",IF(patients[[#This Row],[age]] &lt; 65,"40-64","65+")))</f>
        <v>65+</v>
      </c>
      <c r="K612" s="1" t="str">
        <f>TEXT(patients[[#This Row],[arrival_date]],"[$-409]mmmm")</f>
        <v>December</v>
      </c>
      <c r="L612" s="1">
        <f>MATCH(K612, {"January";"February";"March";"April";"May";"June";"July";"August";"September";"October";"November";"December"}, 0)</f>
        <v>12</v>
      </c>
      <c r="M612" s="1" t="str" cm="1">
        <f t="array" ref="M612">IF(patients[[#This Row],[length_of_stay]]&gt;patients!$N$2:$N$2,"Over average","Less than average")</f>
        <v>Over average</v>
      </c>
    </row>
    <row r="613" spans="2:13" x14ac:dyDescent="0.25">
      <c r="B613" s="1" t="s">
        <v>1231</v>
      </c>
      <c r="C613" s="1" t="s">
        <v>1232</v>
      </c>
      <c r="D613">
        <v>43</v>
      </c>
      <c r="E613" s="2">
        <v>45731</v>
      </c>
      <c r="F613" s="2">
        <v>45735</v>
      </c>
      <c r="G613" s="1" t="s">
        <v>17</v>
      </c>
      <c r="H613">
        <v>96</v>
      </c>
      <c r="I613" s="19">
        <f>patients[[#This Row],[departure_date]]-patients[[#This Row],[arrival_date]]</f>
        <v>4</v>
      </c>
      <c r="J613" t="str">
        <f>IF(patients[[#This Row],[age]] &lt; 18,"0-17",IF(patients[[#This Row],[age]] &lt; 40,"18-39",IF(patients[[#This Row],[age]] &lt; 65,"40-64","65+")))</f>
        <v>40-64</v>
      </c>
      <c r="K613" s="1" t="str">
        <f>TEXT(patients[[#This Row],[arrival_date]],"[$-409]mmmm")</f>
        <v>March</v>
      </c>
      <c r="L613" s="1">
        <f>MATCH(K613, {"January";"February";"March";"April";"May";"June";"July";"August";"September";"October";"November";"December"}, 0)</f>
        <v>3</v>
      </c>
      <c r="M613" s="1" t="str" cm="1">
        <f t="array" ref="M613">IF(patients[[#This Row],[length_of_stay]]&gt;patients!$N$2:$N$2,"Over average","Less than average")</f>
        <v>Less than average</v>
      </c>
    </row>
    <row r="614" spans="2:13" x14ac:dyDescent="0.25">
      <c r="B614" s="1" t="s">
        <v>1233</v>
      </c>
      <c r="C614" s="1" t="s">
        <v>1234</v>
      </c>
      <c r="D614">
        <v>27</v>
      </c>
      <c r="E614" s="2">
        <v>45912</v>
      </c>
      <c r="F614" s="2">
        <v>45923</v>
      </c>
      <c r="G614" s="1" t="s">
        <v>9</v>
      </c>
      <c r="H614">
        <v>80</v>
      </c>
      <c r="I614" s="19">
        <f>patients[[#This Row],[departure_date]]-patients[[#This Row],[arrival_date]]</f>
        <v>11</v>
      </c>
      <c r="J614" t="str">
        <f>IF(patients[[#This Row],[age]] &lt; 18,"0-17",IF(patients[[#This Row],[age]] &lt; 40,"18-39",IF(patients[[#This Row],[age]] &lt; 65,"40-64","65+")))</f>
        <v>18-39</v>
      </c>
      <c r="K614" s="1" t="str">
        <f>TEXT(patients[[#This Row],[arrival_date]],"[$-409]mmmm")</f>
        <v>September</v>
      </c>
      <c r="L614" s="1">
        <f>MATCH(K614, {"January";"February";"March";"April";"May";"June";"July";"August";"September";"October";"November";"December"}, 0)</f>
        <v>9</v>
      </c>
      <c r="M614" s="1" t="str" cm="1">
        <f t="array" ref="M614">IF(patients[[#This Row],[length_of_stay]]&gt;patients!$N$2:$N$2,"Over average","Less than average")</f>
        <v>Over average</v>
      </c>
    </row>
    <row r="615" spans="2:13" x14ac:dyDescent="0.25">
      <c r="B615" s="1" t="s">
        <v>1235</v>
      </c>
      <c r="C615" s="1" t="s">
        <v>1236</v>
      </c>
      <c r="D615">
        <v>87</v>
      </c>
      <c r="E615" s="2">
        <v>45909</v>
      </c>
      <c r="F615" s="2">
        <v>45917</v>
      </c>
      <c r="G615" s="1" t="s">
        <v>9</v>
      </c>
      <c r="H615">
        <v>61</v>
      </c>
      <c r="I615" s="19">
        <f>patients[[#This Row],[departure_date]]-patients[[#This Row],[arrival_date]]</f>
        <v>8</v>
      </c>
      <c r="J615" t="str">
        <f>IF(patients[[#This Row],[age]] &lt; 18,"0-17",IF(patients[[#This Row],[age]] &lt; 40,"18-39",IF(patients[[#This Row],[age]] &lt; 65,"40-64","65+")))</f>
        <v>65+</v>
      </c>
      <c r="K615" s="1" t="str">
        <f>TEXT(patients[[#This Row],[arrival_date]],"[$-409]mmmm")</f>
        <v>September</v>
      </c>
      <c r="L615" s="1">
        <f>MATCH(K615, {"January";"February";"March";"April";"May";"June";"July";"August";"September";"October";"November";"December"}, 0)</f>
        <v>9</v>
      </c>
      <c r="M615" s="1" t="str" cm="1">
        <f t="array" ref="M615">IF(patients[[#This Row],[length_of_stay]]&gt;patients!$N$2:$N$2,"Over average","Less than average")</f>
        <v>Over average</v>
      </c>
    </row>
    <row r="616" spans="2:13" x14ac:dyDescent="0.25">
      <c r="B616" s="1" t="s">
        <v>1237</v>
      </c>
      <c r="C616" s="1" t="s">
        <v>1238</v>
      </c>
      <c r="D616">
        <v>54</v>
      </c>
      <c r="E616" s="2">
        <v>45748</v>
      </c>
      <c r="F616" s="2">
        <v>45754</v>
      </c>
      <c r="G616" s="1" t="s">
        <v>20</v>
      </c>
      <c r="H616">
        <v>96</v>
      </c>
      <c r="I616" s="19">
        <f>patients[[#This Row],[departure_date]]-patients[[#This Row],[arrival_date]]</f>
        <v>6</v>
      </c>
      <c r="J616" t="str">
        <f>IF(patients[[#This Row],[age]] &lt; 18,"0-17",IF(patients[[#This Row],[age]] &lt; 40,"18-39",IF(patients[[#This Row],[age]] &lt; 65,"40-64","65+")))</f>
        <v>40-64</v>
      </c>
      <c r="K616" s="1" t="str">
        <f>TEXT(patients[[#This Row],[arrival_date]],"[$-409]mmmm")</f>
        <v>April</v>
      </c>
      <c r="L616" s="1">
        <f>MATCH(K616, {"January";"February";"March";"April";"May";"June";"July";"August";"September";"October";"November";"December"}, 0)</f>
        <v>4</v>
      </c>
      <c r="M616" s="1" t="str" cm="1">
        <f t="array" ref="M616">IF(patients[[#This Row],[length_of_stay]]&gt;patients!$N$2:$N$2,"Over average","Less than average")</f>
        <v>Less than average</v>
      </c>
    </row>
    <row r="617" spans="2:13" x14ac:dyDescent="0.25">
      <c r="B617" s="1" t="s">
        <v>1239</v>
      </c>
      <c r="C617" s="1" t="s">
        <v>1240</v>
      </c>
      <c r="D617">
        <v>26</v>
      </c>
      <c r="E617" s="2">
        <v>46006</v>
      </c>
      <c r="F617" s="2">
        <v>46009</v>
      </c>
      <c r="G617" s="1" t="s">
        <v>17</v>
      </c>
      <c r="H617">
        <v>72</v>
      </c>
      <c r="I617" s="19">
        <f>patients[[#This Row],[departure_date]]-patients[[#This Row],[arrival_date]]</f>
        <v>3</v>
      </c>
      <c r="J617" t="str">
        <f>IF(patients[[#This Row],[age]] &lt; 18,"0-17",IF(patients[[#This Row],[age]] &lt; 40,"18-39",IF(patients[[#This Row],[age]] &lt; 65,"40-64","65+")))</f>
        <v>18-39</v>
      </c>
      <c r="K617" s="1" t="str">
        <f>TEXT(patients[[#This Row],[arrival_date]],"[$-409]mmmm")</f>
        <v>December</v>
      </c>
      <c r="L617" s="1">
        <f>MATCH(K617, {"January";"February";"March";"April";"May";"June";"July";"August";"September";"October";"November";"December"}, 0)</f>
        <v>12</v>
      </c>
      <c r="M617" s="1" t="str" cm="1">
        <f t="array" ref="M617">IF(patients[[#This Row],[length_of_stay]]&gt;patients!$N$2:$N$2,"Over average","Less than average")</f>
        <v>Less than average</v>
      </c>
    </row>
    <row r="618" spans="2:13" x14ac:dyDescent="0.25">
      <c r="B618" s="1" t="s">
        <v>1241</v>
      </c>
      <c r="C618" s="1" t="s">
        <v>1242</v>
      </c>
      <c r="D618">
        <v>44</v>
      </c>
      <c r="E618" s="2">
        <v>45885</v>
      </c>
      <c r="F618" s="2">
        <v>45894</v>
      </c>
      <c r="G618" s="1" t="s">
        <v>9</v>
      </c>
      <c r="H618">
        <v>86</v>
      </c>
      <c r="I618" s="19">
        <f>patients[[#This Row],[departure_date]]-patients[[#This Row],[arrival_date]]</f>
        <v>9</v>
      </c>
      <c r="J618" t="str">
        <f>IF(patients[[#This Row],[age]] &lt; 18,"0-17",IF(patients[[#This Row],[age]] &lt; 40,"18-39",IF(patients[[#This Row],[age]] &lt; 65,"40-64","65+")))</f>
        <v>40-64</v>
      </c>
      <c r="K618" s="1" t="str">
        <f>TEXT(patients[[#This Row],[arrival_date]],"[$-409]mmmm")</f>
        <v>August</v>
      </c>
      <c r="L618" s="1">
        <f>MATCH(K618, {"January";"February";"March";"April";"May";"June";"July";"August";"September";"October";"November";"December"}, 0)</f>
        <v>8</v>
      </c>
      <c r="M618" s="1" t="str" cm="1">
        <f t="array" ref="M618">IF(patients[[#This Row],[length_of_stay]]&gt;patients!$N$2:$N$2,"Over average","Less than average")</f>
        <v>Over average</v>
      </c>
    </row>
    <row r="619" spans="2:13" x14ac:dyDescent="0.25">
      <c r="B619" s="1" t="s">
        <v>1243</v>
      </c>
      <c r="C619" s="1" t="s">
        <v>1244</v>
      </c>
      <c r="D619">
        <v>33</v>
      </c>
      <c r="E619" s="2">
        <v>45786</v>
      </c>
      <c r="F619" s="2">
        <v>45795</v>
      </c>
      <c r="G619" s="1" t="s">
        <v>14</v>
      </c>
      <c r="H619">
        <v>88</v>
      </c>
      <c r="I619" s="19">
        <f>patients[[#This Row],[departure_date]]-patients[[#This Row],[arrival_date]]</f>
        <v>9</v>
      </c>
      <c r="J619" t="str">
        <f>IF(patients[[#This Row],[age]] &lt; 18,"0-17",IF(patients[[#This Row],[age]] &lt; 40,"18-39",IF(patients[[#This Row],[age]] &lt; 65,"40-64","65+")))</f>
        <v>18-39</v>
      </c>
      <c r="K619" s="1" t="str">
        <f>TEXT(patients[[#This Row],[arrival_date]],"[$-409]mmmm")</f>
        <v>May</v>
      </c>
      <c r="L619" s="1">
        <f>MATCH(K619, {"January";"February";"March";"April";"May";"June";"July";"August";"September";"October";"November";"December"}, 0)</f>
        <v>5</v>
      </c>
      <c r="M619" s="1" t="str" cm="1">
        <f t="array" ref="M619">IF(patients[[#This Row],[length_of_stay]]&gt;patients!$N$2:$N$2,"Over average","Less than average")</f>
        <v>Over average</v>
      </c>
    </row>
    <row r="620" spans="2:13" x14ac:dyDescent="0.25">
      <c r="B620" s="1" t="s">
        <v>1245</v>
      </c>
      <c r="C620" s="1" t="s">
        <v>1246</v>
      </c>
      <c r="D620">
        <v>70</v>
      </c>
      <c r="E620" s="2">
        <v>45980</v>
      </c>
      <c r="F620" s="2">
        <v>45984</v>
      </c>
      <c r="G620" s="1" t="s">
        <v>17</v>
      </c>
      <c r="H620">
        <v>79</v>
      </c>
      <c r="I620" s="19">
        <f>patients[[#This Row],[departure_date]]-patients[[#This Row],[arrival_date]]</f>
        <v>4</v>
      </c>
      <c r="J620" t="str">
        <f>IF(patients[[#This Row],[age]] &lt; 18,"0-17",IF(patients[[#This Row],[age]] &lt; 40,"18-39",IF(patients[[#This Row],[age]] &lt; 65,"40-64","65+")))</f>
        <v>65+</v>
      </c>
      <c r="K620" s="1" t="str">
        <f>TEXT(patients[[#This Row],[arrival_date]],"[$-409]mmmm")</f>
        <v>November</v>
      </c>
      <c r="L620" s="1">
        <f>MATCH(K620, {"January";"February";"March";"April";"May";"June";"July";"August";"September";"October";"November";"December"}, 0)</f>
        <v>11</v>
      </c>
      <c r="M620" s="1" t="str" cm="1">
        <f t="array" ref="M620">IF(patients[[#This Row],[length_of_stay]]&gt;patients!$N$2:$N$2,"Over average","Less than average")</f>
        <v>Less than average</v>
      </c>
    </row>
    <row r="621" spans="2:13" x14ac:dyDescent="0.25">
      <c r="B621" s="1" t="s">
        <v>1247</v>
      </c>
      <c r="C621" s="1" t="s">
        <v>1248</v>
      </c>
      <c r="D621">
        <v>34</v>
      </c>
      <c r="E621" s="2">
        <v>45770</v>
      </c>
      <c r="F621" s="2">
        <v>45777</v>
      </c>
      <c r="G621" s="1" t="s">
        <v>14</v>
      </c>
      <c r="H621">
        <v>86</v>
      </c>
      <c r="I621" s="19">
        <f>patients[[#This Row],[departure_date]]-patients[[#This Row],[arrival_date]]</f>
        <v>7</v>
      </c>
      <c r="J621" t="str">
        <f>IF(patients[[#This Row],[age]] &lt; 18,"0-17",IF(patients[[#This Row],[age]] &lt; 40,"18-39",IF(patients[[#This Row],[age]] &lt; 65,"40-64","65+")))</f>
        <v>18-39</v>
      </c>
      <c r="K621" s="1" t="str">
        <f>TEXT(patients[[#This Row],[arrival_date]],"[$-409]mmmm")</f>
        <v>April</v>
      </c>
      <c r="L621" s="1">
        <f>MATCH(K621, {"January";"February";"March";"April";"May";"June";"July";"August";"September";"October";"November";"December"}, 0)</f>
        <v>4</v>
      </c>
      <c r="M621" s="1" t="str" cm="1">
        <f t="array" ref="M621">IF(patients[[#This Row],[length_of_stay]]&gt;patients!$N$2:$N$2,"Over average","Less than average")</f>
        <v>Less than average</v>
      </c>
    </row>
    <row r="622" spans="2:13" x14ac:dyDescent="0.25">
      <c r="B622" s="1" t="s">
        <v>1249</v>
      </c>
      <c r="C622" s="1" t="s">
        <v>1250</v>
      </c>
      <c r="D622">
        <v>89</v>
      </c>
      <c r="E622" s="2">
        <v>45674</v>
      </c>
      <c r="F622" s="2">
        <v>45676</v>
      </c>
      <c r="G622" s="1" t="s">
        <v>9</v>
      </c>
      <c r="H622">
        <v>88</v>
      </c>
      <c r="I622" s="19">
        <f>patients[[#This Row],[departure_date]]-patients[[#This Row],[arrival_date]]</f>
        <v>2</v>
      </c>
      <c r="J622" t="str">
        <f>IF(patients[[#This Row],[age]] &lt; 18,"0-17",IF(patients[[#This Row],[age]] &lt; 40,"18-39",IF(patients[[#This Row],[age]] &lt; 65,"40-64","65+")))</f>
        <v>65+</v>
      </c>
      <c r="K622" s="1" t="str">
        <f>TEXT(patients[[#This Row],[arrival_date]],"[$-409]mmmm")</f>
        <v>January</v>
      </c>
      <c r="L622" s="1">
        <f>MATCH(K622, {"January";"February";"March";"April";"May";"June";"July";"August";"September";"October";"November";"December"}, 0)</f>
        <v>1</v>
      </c>
      <c r="M622" s="1" t="str" cm="1">
        <f t="array" ref="M622">IF(patients[[#This Row],[length_of_stay]]&gt;patients!$N$2:$N$2,"Over average","Less than average")</f>
        <v>Less than average</v>
      </c>
    </row>
    <row r="623" spans="2:13" x14ac:dyDescent="0.25">
      <c r="B623" s="1" t="s">
        <v>1251</v>
      </c>
      <c r="C623" s="1" t="s">
        <v>1252</v>
      </c>
      <c r="D623">
        <v>83</v>
      </c>
      <c r="E623" s="2">
        <v>45748</v>
      </c>
      <c r="F623" s="2">
        <v>45750</v>
      </c>
      <c r="G623" s="1" t="s">
        <v>17</v>
      </c>
      <c r="H623">
        <v>63</v>
      </c>
      <c r="I623" s="19">
        <f>patients[[#This Row],[departure_date]]-patients[[#This Row],[arrival_date]]</f>
        <v>2</v>
      </c>
      <c r="J623" t="str">
        <f>IF(patients[[#This Row],[age]] &lt; 18,"0-17",IF(patients[[#This Row],[age]] &lt; 40,"18-39",IF(patients[[#This Row],[age]] &lt; 65,"40-64","65+")))</f>
        <v>65+</v>
      </c>
      <c r="K623" s="1" t="str">
        <f>TEXT(patients[[#This Row],[arrival_date]],"[$-409]mmmm")</f>
        <v>April</v>
      </c>
      <c r="L623" s="1">
        <f>MATCH(K623, {"January";"February";"March";"April";"May";"June";"July";"August";"September";"October";"November";"December"}, 0)</f>
        <v>4</v>
      </c>
      <c r="M623" s="1" t="str" cm="1">
        <f t="array" ref="M623">IF(patients[[#This Row],[length_of_stay]]&gt;patients!$N$2:$N$2,"Over average","Less than average")</f>
        <v>Less than average</v>
      </c>
    </row>
    <row r="624" spans="2:13" x14ac:dyDescent="0.25">
      <c r="B624" s="1" t="s">
        <v>1253</v>
      </c>
      <c r="C624" s="1" t="s">
        <v>1254</v>
      </c>
      <c r="D624">
        <v>64</v>
      </c>
      <c r="E624" s="2">
        <v>45914</v>
      </c>
      <c r="F624" s="2">
        <v>45924</v>
      </c>
      <c r="G624" s="1" t="s">
        <v>9</v>
      </c>
      <c r="H624">
        <v>85</v>
      </c>
      <c r="I624" s="19">
        <f>patients[[#This Row],[departure_date]]-patients[[#This Row],[arrival_date]]</f>
        <v>10</v>
      </c>
      <c r="J624" t="str">
        <f>IF(patients[[#This Row],[age]] &lt; 18,"0-17",IF(patients[[#This Row],[age]] &lt; 40,"18-39",IF(patients[[#This Row],[age]] &lt; 65,"40-64","65+")))</f>
        <v>40-64</v>
      </c>
      <c r="K624" s="1" t="str">
        <f>TEXT(patients[[#This Row],[arrival_date]],"[$-409]mmmm")</f>
        <v>September</v>
      </c>
      <c r="L624" s="1">
        <f>MATCH(K624, {"January";"February";"March";"April";"May";"June";"July";"August";"September";"October";"November";"December"}, 0)</f>
        <v>9</v>
      </c>
      <c r="M624" s="1" t="str" cm="1">
        <f t="array" ref="M624">IF(patients[[#This Row],[length_of_stay]]&gt;patients!$N$2:$N$2,"Over average","Less than average")</f>
        <v>Over average</v>
      </c>
    </row>
    <row r="625" spans="2:13" x14ac:dyDescent="0.25">
      <c r="B625" s="1" t="s">
        <v>1255</v>
      </c>
      <c r="C625" s="1" t="s">
        <v>1256</v>
      </c>
      <c r="D625">
        <v>19</v>
      </c>
      <c r="E625" s="2">
        <v>46000</v>
      </c>
      <c r="F625" s="2">
        <v>46010</v>
      </c>
      <c r="G625" s="1" t="s">
        <v>20</v>
      </c>
      <c r="H625">
        <v>70</v>
      </c>
      <c r="I625" s="19">
        <f>patients[[#This Row],[departure_date]]-patients[[#This Row],[arrival_date]]</f>
        <v>10</v>
      </c>
      <c r="J625" t="str">
        <f>IF(patients[[#This Row],[age]] &lt; 18,"0-17",IF(patients[[#This Row],[age]] &lt; 40,"18-39",IF(patients[[#This Row],[age]] &lt; 65,"40-64","65+")))</f>
        <v>18-39</v>
      </c>
      <c r="K625" s="1" t="str">
        <f>TEXT(patients[[#This Row],[arrival_date]],"[$-409]mmmm")</f>
        <v>December</v>
      </c>
      <c r="L625" s="1">
        <f>MATCH(K625, {"January";"February";"March";"April";"May";"June";"July";"August";"September";"October";"November";"December"}, 0)</f>
        <v>12</v>
      </c>
      <c r="M625" s="1" t="str" cm="1">
        <f t="array" ref="M625">IF(patients[[#This Row],[length_of_stay]]&gt;patients!$N$2:$N$2,"Over average","Less than average")</f>
        <v>Over average</v>
      </c>
    </row>
    <row r="626" spans="2:13" x14ac:dyDescent="0.25">
      <c r="B626" s="1" t="s">
        <v>1257</v>
      </c>
      <c r="C626" s="1" t="s">
        <v>1258</v>
      </c>
      <c r="D626">
        <v>40</v>
      </c>
      <c r="E626" s="2">
        <v>45850</v>
      </c>
      <c r="F626" s="2">
        <v>45851</v>
      </c>
      <c r="G626" s="1" t="s">
        <v>17</v>
      </c>
      <c r="H626">
        <v>81</v>
      </c>
      <c r="I626" s="19">
        <f>patients[[#This Row],[departure_date]]-patients[[#This Row],[arrival_date]]</f>
        <v>1</v>
      </c>
      <c r="J626" t="str">
        <f>IF(patients[[#This Row],[age]] &lt; 18,"0-17",IF(patients[[#This Row],[age]] &lt; 40,"18-39",IF(patients[[#This Row],[age]] &lt; 65,"40-64","65+")))</f>
        <v>40-64</v>
      </c>
      <c r="K626" s="1" t="str">
        <f>TEXT(patients[[#This Row],[arrival_date]],"[$-409]mmmm")</f>
        <v>July</v>
      </c>
      <c r="L626" s="1">
        <f>MATCH(K626, {"January";"February";"March";"April";"May";"June";"July";"August";"September";"October";"November";"December"}, 0)</f>
        <v>7</v>
      </c>
      <c r="M626" s="1" t="str" cm="1">
        <f t="array" ref="M626">IF(patients[[#This Row],[length_of_stay]]&gt;patients!$N$2:$N$2,"Over average","Less than average")</f>
        <v>Less than average</v>
      </c>
    </row>
    <row r="627" spans="2:13" x14ac:dyDescent="0.25">
      <c r="B627" s="1" t="s">
        <v>1259</v>
      </c>
      <c r="C627" s="1" t="s">
        <v>1260</v>
      </c>
      <c r="D627">
        <v>40</v>
      </c>
      <c r="E627" s="2">
        <v>45725</v>
      </c>
      <c r="F627" s="2">
        <v>45730</v>
      </c>
      <c r="G627" s="1" t="s">
        <v>17</v>
      </c>
      <c r="H627">
        <v>70</v>
      </c>
      <c r="I627" s="19">
        <f>patients[[#This Row],[departure_date]]-patients[[#This Row],[arrival_date]]</f>
        <v>5</v>
      </c>
      <c r="J627" t="str">
        <f>IF(patients[[#This Row],[age]] &lt; 18,"0-17",IF(patients[[#This Row],[age]] &lt; 40,"18-39",IF(patients[[#This Row],[age]] &lt; 65,"40-64","65+")))</f>
        <v>40-64</v>
      </c>
      <c r="K627" s="1" t="str">
        <f>TEXT(patients[[#This Row],[arrival_date]],"[$-409]mmmm")</f>
        <v>March</v>
      </c>
      <c r="L627" s="1">
        <f>MATCH(K627, {"January";"February";"March";"April";"May";"June";"July";"August";"September";"October";"November";"December"}, 0)</f>
        <v>3</v>
      </c>
      <c r="M627" s="1" t="str" cm="1">
        <f t="array" ref="M627">IF(patients[[#This Row],[length_of_stay]]&gt;patients!$N$2:$N$2,"Over average","Less than average")</f>
        <v>Less than average</v>
      </c>
    </row>
    <row r="628" spans="2:13" x14ac:dyDescent="0.25">
      <c r="B628" s="1" t="s">
        <v>1261</v>
      </c>
      <c r="C628" s="1" t="s">
        <v>1262</v>
      </c>
      <c r="D628">
        <v>55</v>
      </c>
      <c r="E628" s="2">
        <v>45806</v>
      </c>
      <c r="F628" s="2">
        <v>45809</v>
      </c>
      <c r="G628" s="1" t="s">
        <v>14</v>
      </c>
      <c r="H628">
        <v>71</v>
      </c>
      <c r="I628" s="19">
        <f>patients[[#This Row],[departure_date]]-patients[[#This Row],[arrival_date]]</f>
        <v>3</v>
      </c>
      <c r="J628" t="str">
        <f>IF(patients[[#This Row],[age]] &lt; 18,"0-17",IF(patients[[#This Row],[age]] &lt; 40,"18-39",IF(patients[[#This Row],[age]] &lt; 65,"40-64","65+")))</f>
        <v>40-64</v>
      </c>
      <c r="K628" s="1" t="str">
        <f>TEXT(patients[[#This Row],[arrival_date]],"[$-409]mmmm")</f>
        <v>May</v>
      </c>
      <c r="L628" s="1">
        <f>MATCH(K628, {"January";"February";"March";"April";"May";"June";"July";"August";"September";"October";"November";"December"}, 0)</f>
        <v>5</v>
      </c>
      <c r="M628" s="1" t="str" cm="1">
        <f t="array" ref="M628">IF(patients[[#This Row],[length_of_stay]]&gt;patients!$N$2:$N$2,"Over average","Less than average")</f>
        <v>Less than average</v>
      </c>
    </row>
    <row r="629" spans="2:13" x14ac:dyDescent="0.25">
      <c r="B629" s="1" t="s">
        <v>1263</v>
      </c>
      <c r="C629" s="1" t="s">
        <v>1264</v>
      </c>
      <c r="D629">
        <v>25</v>
      </c>
      <c r="E629" s="2">
        <v>45766</v>
      </c>
      <c r="F629" s="2">
        <v>45778</v>
      </c>
      <c r="G629" s="1" t="s">
        <v>14</v>
      </c>
      <c r="H629">
        <v>66</v>
      </c>
      <c r="I629" s="19">
        <f>patients[[#This Row],[departure_date]]-patients[[#This Row],[arrival_date]]</f>
        <v>12</v>
      </c>
      <c r="J629" t="str">
        <f>IF(patients[[#This Row],[age]] &lt; 18,"0-17",IF(patients[[#This Row],[age]] &lt; 40,"18-39",IF(patients[[#This Row],[age]] &lt; 65,"40-64","65+")))</f>
        <v>18-39</v>
      </c>
      <c r="K629" s="1" t="str">
        <f>TEXT(patients[[#This Row],[arrival_date]],"[$-409]mmmm")</f>
        <v>April</v>
      </c>
      <c r="L629" s="1">
        <f>MATCH(K629, {"January";"February";"March";"April";"May";"June";"July";"August";"September";"October";"November";"December"}, 0)</f>
        <v>4</v>
      </c>
      <c r="M629" s="1" t="str" cm="1">
        <f t="array" ref="M629">IF(patients[[#This Row],[length_of_stay]]&gt;patients!$N$2:$N$2,"Over average","Less than average")</f>
        <v>Over average</v>
      </c>
    </row>
    <row r="630" spans="2:13" x14ac:dyDescent="0.25">
      <c r="B630" s="1" t="s">
        <v>1265</v>
      </c>
      <c r="C630" s="1" t="s">
        <v>1266</v>
      </c>
      <c r="D630">
        <v>46</v>
      </c>
      <c r="E630" s="2">
        <v>45984</v>
      </c>
      <c r="F630" s="2">
        <v>45994</v>
      </c>
      <c r="G630" s="1" t="s">
        <v>14</v>
      </c>
      <c r="H630">
        <v>99</v>
      </c>
      <c r="I630" s="19">
        <f>patients[[#This Row],[departure_date]]-patients[[#This Row],[arrival_date]]</f>
        <v>10</v>
      </c>
      <c r="J630" t="str">
        <f>IF(patients[[#This Row],[age]] &lt; 18,"0-17",IF(patients[[#This Row],[age]] &lt; 40,"18-39",IF(patients[[#This Row],[age]] &lt; 65,"40-64","65+")))</f>
        <v>40-64</v>
      </c>
      <c r="K630" s="1" t="str">
        <f>TEXT(patients[[#This Row],[arrival_date]],"[$-409]mmmm")</f>
        <v>November</v>
      </c>
      <c r="L630" s="1">
        <f>MATCH(K630, {"January";"February";"March";"April";"May";"June";"July";"August";"September";"October";"November";"December"}, 0)</f>
        <v>11</v>
      </c>
      <c r="M630" s="1" t="str" cm="1">
        <f t="array" ref="M630">IF(patients[[#This Row],[length_of_stay]]&gt;patients!$N$2:$N$2,"Over average","Less than average")</f>
        <v>Over average</v>
      </c>
    </row>
    <row r="631" spans="2:13" x14ac:dyDescent="0.25">
      <c r="B631" s="1" t="s">
        <v>1267</v>
      </c>
      <c r="C631" s="1" t="s">
        <v>1268</v>
      </c>
      <c r="D631">
        <v>4</v>
      </c>
      <c r="E631" s="2">
        <v>45789</v>
      </c>
      <c r="F631" s="2">
        <v>45796</v>
      </c>
      <c r="G631" s="1" t="s">
        <v>17</v>
      </c>
      <c r="H631">
        <v>79</v>
      </c>
      <c r="I631" s="19">
        <f>patients[[#This Row],[departure_date]]-patients[[#This Row],[arrival_date]]</f>
        <v>7</v>
      </c>
      <c r="J631" t="str">
        <f>IF(patients[[#This Row],[age]] &lt; 18,"0-17",IF(patients[[#This Row],[age]] &lt; 40,"18-39",IF(patients[[#This Row],[age]] &lt; 65,"40-64","65+")))</f>
        <v>0-17</v>
      </c>
      <c r="K631" s="1" t="str">
        <f>TEXT(patients[[#This Row],[arrival_date]],"[$-409]mmmm")</f>
        <v>May</v>
      </c>
      <c r="L631" s="1">
        <f>MATCH(K631, {"January";"February";"March";"April";"May";"June";"July";"August";"September";"October";"November";"December"}, 0)</f>
        <v>5</v>
      </c>
      <c r="M631" s="1" t="str" cm="1">
        <f t="array" ref="M631">IF(patients[[#This Row],[length_of_stay]]&gt;patients!$N$2:$N$2,"Over average","Less than average")</f>
        <v>Less than average</v>
      </c>
    </row>
    <row r="632" spans="2:13" x14ac:dyDescent="0.25">
      <c r="B632" s="1" t="s">
        <v>1269</v>
      </c>
      <c r="C632" s="1" t="s">
        <v>1270</v>
      </c>
      <c r="D632">
        <v>14</v>
      </c>
      <c r="E632" s="2">
        <v>45773</v>
      </c>
      <c r="F632" s="2">
        <v>45786</v>
      </c>
      <c r="G632" s="1" t="s">
        <v>9</v>
      </c>
      <c r="H632">
        <v>88</v>
      </c>
      <c r="I632" s="19">
        <f>patients[[#This Row],[departure_date]]-patients[[#This Row],[arrival_date]]</f>
        <v>13</v>
      </c>
      <c r="J632" t="str">
        <f>IF(patients[[#This Row],[age]] &lt; 18,"0-17",IF(patients[[#This Row],[age]] &lt; 40,"18-39",IF(patients[[#This Row],[age]] &lt; 65,"40-64","65+")))</f>
        <v>0-17</v>
      </c>
      <c r="K632" s="1" t="str">
        <f>TEXT(patients[[#This Row],[arrival_date]],"[$-409]mmmm")</f>
        <v>April</v>
      </c>
      <c r="L632" s="1">
        <f>MATCH(K632, {"January";"February";"March";"April";"May";"June";"July";"August";"September";"October";"November";"December"}, 0)</f>
        <v>4</v>
      </c>
      <c r="M632" s="1" t="str" cm="1">
        <f t="array" ref="M632">IF(patients[[#This Row],[length_of_stay]]&gt;patients!$N$2:$N$2,"Over average","Less than average")</f>
        <v>Over average</v>
      </c>
    </row>
    <row r="633" spans="2:13" x14ac:dyDescent="0.25">
      <c r="B633" s="1" t="s">
        <v>1271</v>
      </c>
      <c r="C633" s="1" t="s">
        <v>1272</v>
      </c>
      <c r="D633">
        <v>7</v>
      </c>
      <c r="E633" s="2">
        <v>45804</v>
      </c>
      <c r="F633" s="2">
        <v>45811</v>
      </c>
      <c r="G633" s="1" t="s">
        <v>17</v>
      </c>
      <c r="H633">
        <v>87</v>
      </c>
      <c r="I633" s="19">
        <f>patients[[#This Row],[departure_date]]-patients[[#This Row],[arrival_date]]</f>
        <v>7</v>
      </c>
      <c r="J633" t="str">
        <f>IF(patients[[#This Row],[age]] &lt; 18,"0-17",IF(patients[[#This Row],[age]] &lt; 40,"18-39",IF(patients[[#This Row],[age]] &lt; 65,"40-64","65+")))</f>
        <v>0-17</v>
      </c>
      <c r="K633" s="1" t="str">
        <f>TEXT(patients[[#This Row],[arrival_date]],"[$-409]mmmm")</f>
        <v>May</v>
      </c>
      <c r="L633" s="1">
        <f>MATCH(K633, {"January";"February";"March";"April";"May";"June";"July";"August";"September";"October";"November";"December"}, 0)</f>
        <v>5</v>
      </c>
      <c r="M633" s="1" t="str" cm="1">
        <f t="array" ref="M633">IF(patients[[#This Row],[length_of_stay]]&gt;patients!$N$2:$N$2,"Over average","Less than average")</f>
        <v>Less than average</v>
      </c>
    </row>
    <row r="634" spans="2:13" x14ac:dyDescent="0.25">
      <c r="B634" s="1" t="s">
        <v>1273</v>
      </c>
      <c r="C634" s="1" t="s">
        <v>1274</v>
      </c>
      <c r="D634">
        <v>67</v>
      </c>
      <c r="E634" s="2">
        <v>45928</v>
      </c>
      <c r="F634" s="2">
        <v>45931</v>
      </c>
      <c r="G634" s="1" t="s">
        <v>9</v>
      </c>
      <c r="H634">
        <v>96</v>
      </c>
      <c r="I634" s="19">
        <f>patients[[#This Row],[departure_date]]-patients[[#This Row],[arrival_date]]</f>
        <v>3</v>
      </c>
      <c r="J634" t="str">
        <f>IF(patients[[#This Row],[age]] &lt; 18,"0-17",IF(patients[[#This Row],[age]] &lt; 40,"18-39",IF(patients[[#This Row],[age]] &lt; 65,"40-64","65+")))</f>
        <v>65+</v>
      </c>
      <c r="K634" s="1" t="str">
        <f>TEXT(patients[[#This Row],[arrival_date]],"[$-409]mmmm")</f>
        <v>September</v>
      </c>
      <c r="L634" s="1">
        <f>MATCH(K634, {"January";"February";"March";"April";"May";"June";"July";"August";"September";"October";"November";"December"}, 0)</f>
        <v>9</v>
      </c>
      <c r="M634" s="1" t="str" cm="1">
        <f t="array" ref="M634">IF(patients[[#This Row],[length_of_stay]]&gt;patients!$N$2:$N$2,"Over average","Less than average")</f>
        <v>Less than average</v>
      </c>
    </row>
    <row r="635" spans="2:13" x14ac:dyDescent="0.25">
      <c r="B635" s="1" t="s">
        <v>1275</v>
      </c>
      <c r="C635" s="1" t="s">
        <v>1276</v>
      </c>
      <c r="D635">
        <v>0</v>
      </c>
      <c r="E635" s="2">
        <v>45937</v>
      </c>
      <c r="F635" s="2">
        <v>45948</v>
      </c>
      <c r="G635" s="1" t="s">
        <v>14</v>
      </c>
      <c r="H635">
        <v>99</v>
      </c>
      <c r="I635" s="19">
        <f>patients[[#This Row],[departure_date]]-patients[[#This Row],[arrival_date]]</f>
        <v>11</v>
      </c>
      <c r="J635" t="str">
        <f>IF(patients[[#This Row],[age]] &lt; 18,"0-17",IF(patients[[#This Row],[age]] &lt; 40,"18-39",IF(patients[[#This Row],[age]] &lt; 65,"40-64","65+")))</f>
        <v>0-17</v>
      </c>
      <c r="K635" s="1" t="str">
        <f>TEXT(patients[[#This Row],[arrival_date]],"[$-409]mmmm")</f>
        <v>October</v>
      </c>
      <c r="L635" s="1">
        <f>MATCH(K635, {"January";"February";"March";"April";"May";"June";"July";"August";"September";"October";"November";"December"}, 0)</f>
        <v>10</v>
      </c>
      <c r="M635" s="1" t="str" cm="1">
        <f t="array" ref="M635">IF(patients[[#This Row],[length_of_stay]]&gt;patients!$N$2:$N$2,"Over average","Less than average")</f>
        <v>Over average</v>
      </c>
    </row>
    <row r="636" spans="2:13" x14ac:dyDescent="0.25">
      <c r="B636" s="1" t="s">
        <v>1277</v>
      </c>
      <c r="C636" s="1" t="s">
        <v>1278</v>
      </c>
      <c r="D636">
        <v>62</v>
      </c>
      <c r="E636" s="2">
        <v>45821</v>
      </c>
      <c r="F636" s="2">
        <v>45823</v>
      </c>
      <c r="G636" s="1" t="s">
        <v>17</v>
      </c>
      <c r="H636">
        <v>88</v>
      </c>
      <c r="I636" s="19">
        <f>patients[[#This Row],[departure_date]]-patients[[#This Row],[arrival_date]]</f>
        <v>2</v>
      </c>
      <c r="J636" t="str">
        <f>IF(patients[[#This Row],[age]] &lt; 18,"0-17",IF(patients[[#This Row],[age]] &lt; 40,"18-39",IF(patients[[#This Row],[age]] &lt; 65,"40-64","65+")))</f>
        <v>40-64</v>
      </c>
      <c r="K636" s="1" t="str">
        <f>TEXT(patients[[#This Row],[arrival_date]],"[$-409]mmmm")</f>
        <v>June</v>
      </c>
      <c r="L636" s="1">
        <f>MATCH(K636, {"January";"February";"March";"April";"May";"June";"July";"August";"September";"October";"November";"December"}, 0)</f>
        <v>6</v>
      </c>
      <c r="M636" s="1" t="str" cm="1">
        <f t="array" ref="M636">IF(patients[[#This Row],[length_of_stay]]&gt;patients!$N$2:$N$2,"Over average","Less than average")</f>
        <v>Less than average</v>
      </c>
    </row>
    <row r="637" spans="2:13" x14ac:dyDescent="0.25">
      <c r="B637" s="1" t="s">
        <v>1279</v>
      </c>
      <c r="C637" s="1" t="s">
        <v>1280</v>
      </c>
      <c r="D637">
        <v>23</v>
      </c>
      <c r="E637" s="2">
        <v>45661</v>
      </c>
      <c r="F637" s="2">
        <v>45664</v>
      </c>
      <c r="G637" s="1" t="s">
        <v>20</v>
      </c>
      <c r="H637">
        <v>93</v>
      </c>
      <c r="I637" s="19">
        <f>patients[[#This Row],[departure_date]]-patients[[#This Row],[arrival_date]]</f>
        <v>3</v>
      </c>
      <c r="J637" t="str">
        <f>IF(patients[[#This Row],[age]] &lt; 18,"0-17",IF(patients[[#This Row],[age]] &lt; 40,"18-39",IF(patients[[#This Row],[age]] &lt; 65,"40-64","65+")))</f>
        <v>18-39</v>
      </c>
      <c r="K637" s="1" t="str">
        <f>TEXT(patients[[#This Row],[arrival_date]],"[$-409]mmmm")</f>
        <v>January</v>
      </c>
      <c r="L637" s="1">
        <f>MATCH(K637, {"January";"February";"March";"April";"May";"June";"July";"August";"September";"October";"November";"December"}, 0)</f>
        <v>1</v>
      </c>
      <c r="M637" s="1" t="str" cm="1">
        <f t="array" ref="M637">IF(patients[[#This Row],[length_of_stay]]&gt;patients!$N$2:$N$2,"Over average","Less than average")</f>
        <v>Less than average</v>
      </c>
    </row>
    <row r="638" spans="2:13" x14ac:dyDescent="0.25">
      <c r="B638" s="1" t="s">
        <v>1281</v>
      </c>
      <c r="C638" s="1" t="s">
        <v>1282</v>
      </c>
      <c r="D638">
        <v>56</v>
      </c>
      <c r="E638" s="2">
        <v>45838</v>
      </c>
      <c r="F638" s="2">
        <v>45846</v>
      </c>
      <c r="G638" s="1" t="s">
        <v>17</v>
      </c>
      <c r="H638">
        <v>82</v>
      </c>
      <c r="I638" s="19">
        <f>patients[[#This Row],[departure_date]]-patients[[#This Row],[arrival_date]]</f>
        <v>8</v>
      </c>
      <c r="J638" t="str">
        <f>IF(patients[[#This Row],[age]] &lt; 18,"0-17",IF(patients[[#This Row],[age]] &lt; 40,"18-39",IF(patients[[#This Row],[age]] &lt; 65,"40-64","65+")))</f>
        <v>40-64</v>
      </c>
      <c r="K638" s="1" t="str">
        <f>TEXT(patients[[#This Row],[arrival_date]],"[$-409]mmmm")</f>
        <v>June</v>
      </c>
      <c r="L638" s="1">
        <f>MATCH(K638, {"January";"February";"March";"April";"May";"June";"July";"August";"September";"October";"November";"December"}, 0)</f>
        <v>6</v>
      </c>
      <c r="M638" s="1" t="str" cm="1">
        <f t="array" ref="M638">IF(patients[[#This Row],[length_of_stay]]&gt;patients!$N$2:$N$2,"Over average","Less than average")</f>
        <v>Over average</v>
      </c>
    </row>
    <row r="639" spans="2:13" x14ac:dyDescent="0.25">
      <c r="B639" s="1" t="s">
        <v>1283</v>
      </c>
      <c r="C639" s="1" t="s">
        <v>1284</v>
      </c>
      <c r="D639">
        <v>68</v>
      </c>
      <c r="E639" s="2">
        <v>45911</v>
      </c>
      <c r="F639" s="2">
        <v>45916</v>
      </c>
      <c r="G639" s="1" t="s">
        <v>14</v>
      </c>
      <c r="H639">
        <v>65</v>
      </c>
      <c r="I639" s="19">
        <f>patients[[#This Row],[departure_date]]-patients[[#This Row],[arrival_date]]</f>
        <v>5</v>
      </c>
      <c r="J639" t="str">
        <f>IF(patients[[#This Row],[age]] &lt; 18,"0-17",IF(patients[[#This Row],[age]] &lt; 40,"18-39",IF(patients[[#This Row],[age]] &lt; 65,"40-64","65+")))</f>
        <v>65+</v>
      </c>
      <c r="K639" s="1" t="str">
        <f>TEXT(patients[[#This Row],[arrival_date]],"[$-409]mmmm")</f>
        <v>September</v>
      </c>
      <c r="L639" s="1">
        <f>MATCH(K639, {"January";"February";"March";"April";"May";"June";"July";"August";"September";"October";"November";"December"}, 0)</f>
        <v>9</v>
      </c>
      <c r="M639" s="1" t="str" cm="1">
        <f t="array" ref="M639">IF(patients[[#This Row],[length_of_stay]]&gt;patients!$N$2:$N$2,"Over average","Less than average")</f>
        <v>Less than average</v>
      </c>
    </row>
    <row r="640" spans="2:13" x14ac:dyDescent="0.25">
      <c r="B640" s="1" t="s">
        <v>1285</v>
      </c>
      <c r="C640" s="1" t="s">
        <v>1286</v>
      </c>
      <c r="D640">
        <v>56</v>
      </c>
      <c r="E640" s="2">
        <v>45825</v>
      </c>
      <c r="F640" s="2">
        <v>45832</v>
      </c>
      <c r="G640" s="1" t="s">
        <v>9</v>
      </c>
      <c r="H640">
        <v>98</v>
      </c>
      <c r="I640" s="19">
        <f>patients[[#This Row],[departure_date]]-patients[[#This Row],[arrival_date]]</f>
        <v>7</v>
      </c>
      <c r="J640" t="str">
        <f>IF(patients[[#This Row],[age]] &lt; 18,"0-17",IF(patients[[#This Row],[age]] &lt; 40,"18-39",IF(patients[[#This Row],[age]] &lt; 65,"40-64","65+")))</f>
        <v>40-64</v>
      </c>
      <c r="K640" s="1" t="str">
        <f>TEXT(patients[[#This Row],[arrival_date]],"[$-409]mmmm")</f>
        <v>June</v>
      </c>
      <c r="L640" s="1">
        <f>MATCH(K640, {"January";"February";"March";"April";"May";"June";"July";"August";"September";"October";"November";"December"}, 0)</f>
        <v>6</v>
      </c>
      <c r="M640" s="1" t="str" cm="1">
        <f t="array" ref="M640">IF(patients[[#This Row],[length_of_stay]]&gt;patients!$N$2:$N$2,"Over average","Less than average")</f>
        <v>Less than average</v>
      </c>
    </row>
    <row r="641" spans="2:13" x14ac:dyDescent="0.25">
      <c r="B641" s="1" t="s">
        <v>1287</v>
      </c>
      <c r="C641" s="1" t="s">
        <v>1288</v>
      </c>
      <c r="D641">
        <v>37</v>
      </c>
      <c r="E641" s="2">
        <v>45974</v>
      </c>
      <c r="F641" s="2">
        <v>45978</v>
      </c>
      <c r="G641" s="1" t="s">
        <v>17</v>
      </c>
      <c r="H641">
        <v>62</v>
      </c>
      <c r="I641" s="19">
        <f>patients[[#This Row],[departure_date]]-patients[[#This Row],[arrival_date]]</f>
        <v>4</v>
      </c>
      <c r="J641" t="str">
        <f>IF(patients[[#This Row],[age]] &lt; 18,"0-17",IF(patients[[#This Row],[age]] &lt; 40,"18-39",IF(patients[[#This Row],[age]] &lt; 65,"40-64","65+")))</f>
        <v>18-39</v>
      </c>
      <c r="K641" s="1" t="str">
        <f>TEXT(patients[[#This Row],[arrival_date]],"[$-409]mmmm")</f>
        <v>November</v>
      </c>
      <c r="L641" s="1">
        <f>MATCH(K641, {"January";"February";"March";"April";"May";"June";"July";"August";"September";"October";"November";"December"}, 0)</f>
        <v>11</v>
      </c>
      <c r="M641" s="1" t="str" cm="1">
        <f t="array" ref="M641">IF(patients[[#This Row],[length_of_stay]]&gt;patients!$N$2:$N$2,"Over average","Less than average")</f>
        <v>Less than average</v>
      </c>
    </row>
    <row r="642" spans="2:13" x14ac:dyDescent="0.25">
      <c r="B642" s="1" t="s">
        <v>1289</v>
      </c>
      <c r="C642" s="1" t="s">
        <v>1290</v>
      </c>
      <c r="D642">
        <v>50</v>
      </c>
      <c r="E642" s="2">
        <v>45960</v>
      </c>
      <c r="F642" s="2">
        <v>45964</v>
      </c>
      <c r="G642" s="1" t="s">
        <v>9</v>
      </c>
      <c r="H642">
        <v>87</v>
      </c>
      <c r="I642" s="19">
        <f>patients[[#This Row],[departure_date]]-patients[[#This Row],[arrival_date]]</f>
        <v>4</v>
      </c>
      <c r="J642" t="str">
        <f>IF(patients[[#This Row],[age]] &lt; 18,"0-17",IF(patients[[#This Row],[age]] &lt; 40,"18-39",IF(patients[[#This Row],[age]] &lt; 65,"40-64","65+")))</f>
        <v>40-64</v>
      </c>
      <c r="K642" s="1" t="str">
        <f>TEXT(patients[[#This Row],[arrival_date]],"[$-409]mmmm")</f>
        <v>October</v>
      </c>
      <c r="L642" s="1">
        <f>MATCH(K642, {"January";"February";"March";"April";"May";"June";"July";"August";"September";"October";"November";"December"}, 0)</f>
        <v>10</v>
      </c>
      <c r="M642" s="1" t="str" cm="1">
        <f t="array" ref="M642">IF(patients[[#This Row],[length_of_stay]]&gt;patients!$N$2:$N$2,"Over average","Less than average")</f>
        <v>Less than average</v>
      </c>
    </row>
    <row r="643" spans="2:13" x14ac:dyDescent="0.25">
      <c r="B643" s="1" t="s">
        <v>1291</v>
      </c>
      <c r="C643" s="1" t="s">
        <v>1292</v>
      </c>
      <c r="D643">
        <v>75</v>
      </c>
      <c r="E643" s="2">
        <v>45896</v>
      </c>
      <c r="F643" s="2">
        <v>45905</v>
      </c>
      <c r="G643" s="1" t="s">
        <v>9</v>
      </c>
      <c r="H643">
        <v>64</v>
      </c>
      <c r="I643" s="19">
        <f>patients[[#This Row],[departure_date]]-patients[[#This Row],[arrival_date]]</f>
        <v>9</v>
      </c>
      <c r="J643" t="str">
        <f>IF(patients[[#This Row],[age]] &lt; 18,"0-17",IF(patients[[#This Row],[age]] &lt; 40,"18-39",IF(patients[[#This Row],[age]] &lt; 65,"40-64","65+")))</f>
        <v>65+</v>
      </c>
      <c r="K643" s="1" t="str">
        <f>TEXT(patients[[#This Row],[arrival_date]],"[$-409]mmmm")</f>
        <v>August</v>
      </c>
      <c r="L643" s="1">
        <f>MATCH(K643, {"January";"February";"March";"April";"May";"June";"July";"August";"September";"October";"November";"December"}, 0)</f>
        <v>8</v>
      </c>
      <c r="M643" s="1" t="str" cm="1">
        <f t="array" ref="M643">IF(patients[[#This Row],[length_of_stay]]&gt;patients!$N$2:$N$2,"Over average","Less than average")</f>
        <v>Over average</v>
      </c>
    </row>
    <row r="644" spans="2:13" x14ac:dyDescent="0.25">
      <c r="B644" s="1" t="s">
        <v>1293</v>
      </c>
      <c r="C644" s="1" t="s">
        <v>1294</v>
      </c>
      <c r="D644">
        <v>12</v>
      </c>
      <c r="E644" s="2">
        <v>45971</v>
      </c>
      <c r="F644" s="2">
        <v>45973</v>
      </c>
      <c r="G644" s="1" t="s">
        <v>14</v>
      </c>
      <c r="H644">
        <v>89</v>
      </c>
      <c r="I644" s="19">
        <f>patients[[#This Row],[departure_date]]-patients[[#This Row],[arrival_date]]</f>
        <v>2</v>
      </c>
      <c r="J644" t="str">
        <f>IF(patients[[#This Row],[age]] &lt; 18,"0-17",IF(patients[[#This Row],[age]] &lt; 40,"18-39",IF(patients[[#This Row],[age]] &lt; 65,"40-64","65+")))</f>
        <v>0-17</v>
      </c>
      <c r="K644" s="1" t="str">
        <f>TEXT(patients[[#This Row],[arrival_date]],"[$-409]mmmm")</f>
        <v>November</v>
      </c>
      <c r="L644" s="1">
        <f>MATCH(K644, {"January";"February";"March";"April";"May";"June";"July";"August";"September";"October";"November";"December"}, 0)</f>
        <v>11</v>
      </c>
      <c r="M644" s="1" t="str" cm="1">
        <f t="array" ref="M644">IF(patients[[#This Row],[length_of_stay]]&gt;patients!$N$2:$N$2,"Over average","Less than average")</f>
        <v>Less than average</v>
      </c>
    </row>
    <row r="645" spans="2:13" x14ac:dyDescent="0.25">
      <c r="B645" s="1" t="s">
        <v>1295</v>
      </c>
      <c r="C645" s="1" t="s">
        <v>1296</v>
      </c>
      <c r="D645">
        <v>61</v>
      </c>
      <c r="E645" s="2">
        <v>45682</v>
      </c>
      <c r="F645" s="2">
        <v>45693</v>
      </c>
      <c r="G645" s="1" t="s">
        <v>17</v>
      </c>
      <c r="H645">
        <v>73</v>
      </c>
      <c r="I645" s="19">
        <f>patients[[#This Row],[departure_date]]-patients[[#This Row],[arrival_date]]</f>
        <v>11</v>
      </c>
      <c r="J645" t="str">
        <f>IF(patients[[#This Row],[age]] &lt; 18,"0-17",IF(patients[[#This Row],[age]] &lt; 40,"18-39",IF(patients[[#This Row],[age]] &lt; 65,"40-64","65+")))</f>
        <v>40-64</v>
      </c>
      <c r="K645" s="1" t="str">
        <f>TEXT(patients[[#This Row],[arrival_date]],"[$-409]mmmm")</f>
        <v>January</v>
      </c>
      <c r="L645" s="1">
        <f>MATCH(K645, {"January";"February";"March";"April";"May";"June";"July";"August";"September";"October";"November";"December"}, 0)</f>
        <v>1</v>
      </c>
      <c r="M645" s="1" t="str" cm="1">
        <f t="array" ref="M645">IF(patients[[#This Row],[length_of_stay]]&gt;patients!$N$2:$N$2,"Over average","Less than average")</f>
        <v>Over average</v>
      </c>
    </row>
    <row r="646" spans="2:13" x14ac:dyDescent="0.25">
      <c r="B646" s="1" t="s">
        <v>1297</v>
      </c>
      <c r="C646" s="1" t="s">
        <v>1298</v>
      </c>
      <c r="D646">
        <v>56</v>
      </c>
      <c r="E646" s="2">
        <v>45704</v>
      </c>
      <c r="F646" s="2">
        <v>45710</v>
      </c>
      <c r="G646" s="1" t="s">
        <v>9</v>
      </c>
      <c r="H646">
        <v>95</v>
      </c>
      <c r="I646" s="19">
        <f>patients[[#This Row],[departure_date]]-patients[[#This Row],[arrival_date]]</f>
        <v>6</v>
      </c>
      <c r="J646" t="str">
        <f>IF(patients[[#This Row],[age]] &lt; 18,"0-17",IF(patients[[#This Row],[age]] &lt; 40,"18-39",IF(patients[[#This Row],[age]] &lt; 65,"40-64","65+")))</f>
        <v>40-64</v>
      </c>
      <c r="K646" s="1" t="str">
        <f>TEXT(patients[[#This Row],[arrival_date]],"[$-409]mmmm")</f>
        <v>February</v>
      </c>
      <c r="L646" s="1">
        <f>MATCH(K646, {"January";"February";"March";"April";"May";"June";"July";"August";"September";"October";"November";"December"}, 0)</f>
        <v>2</v>
      </c>
      <c r="M646" s="1" t="str" cm="1">
        <f t="array" ref="M646">IF(patients[[#This Row],[length_of_stay]]&gt;patients!$N$2:$N$2,"Over average","Less than average")</f>
        <v>Less than average</v>
      </c>
    </row>
    <row r="647" spans="2:13" x14ac:dyDescent="0.25">
      <c r="B647" s="1" t="s">
        <v>1299</v>
      </c>
      <c r="C647" s="1" t="s">
        <v>1300</v>
      </c>
      <c r="D647">
        <v>38</v>
      </c>
      <c r="E647" s="2">
        <v>45679</v>
      </c>
      <c r="F647" s="2">
        <v>45684</v>
      </c>
      <c r="G647" s="1" t="s">
        <v>20</v>
      </c>
      <c r="H647">
        <v>80</v>
      </c>
      <c r="I647" s="19">
        <f>patients[[#This Row],[departure_date]]-patients[[#This Row],[arrival_date]]</f>
        <v>5</v>
      </c>
      <c r="J647" t="str">
        <f>IF(patients[[#This Row],[age]] &lt; 18,"0-17",IF(patients[[#This Row],[age]] &lt; 40,"18-39",IF(patients[[#This Row],[age]] &lt; 65,"40-64","65+")))</f>
        <v>18-39</v>
      </c>
      <c r="K647" s="1" t="str">
        <f>TEXT(patients[[#This Row],[arrival_date]],"[$-409]mmmm")</f>
        <v>January</v>
      </c>
      <c r="L647" s="1">
        <f>MATCH(K647, {"January";"February";"March";"April";"May";"June";"July";"August";"September";"October";"November";"December"}, 0)</f>
        <v>1</v>
      </c>
      <c r="M647" s="1" t="str" cm="1">
        <f t="array" ref="M647">IF(patients[[#This Row],[length_of_stay]]&gt;patients!$N$2:$N$2,"Over average","Less than average")</f>
        <v>Less than average</v>
      </c>
    </row>
    <row r="648" spans="2:13" x14ac:dyDescent="0.25">
      <c r="B648" s="1" t="s">
        <v>1301</v>
      </c>
      <c r="C648" s="1" t="s">
        <v>1302</v>
      </c>
      <c r="D648">
        <v>71</v>
      </c>
      <c r="E648" s="2">
        <v>45929</v>
      </c>
      <c r="F648" s="2">
        <v>45940</v>
      </c>
      <c r="G648" s="1" t="s">
        <v>17</v>
      </c>
      <c r="H648">
        <v>90</v>
      </c>
      <c r="I648" s="19">
        <f>patients[[#This Row],[departure_date]]-patients[[#This Row],[arrival_date]]</f>
        <v>11</v>
      </c>
      <c r="J648" t="str">
        <f>IF(patients[[#This Row],[age]] &lt; 18,"0-17",IF(patients[[#This Row],[age]] &lt; 40,"18-39",IF(patients[[#This Row],[age]] &lt; 65,"40-64","65+")))</f>
        <v>65+</v>
      </c>
      <c r="K648" s="1" t="str">
        <f>TEXT(patients[[#This Row],[arrival_date]],"[$-409]mmmm")</f>
        <v>September</v>
      </c>
      <c r="L648" s="1">
        <f>MATCH(K648, {"January";"February";"March";"April";"May";"June";"July";"August";"September";"October";"November";"December"}, 0)</f>
        <v>9</v>
      </c>
      <c r="M648" s="1" t="str" cm="1">
        <f t="array" ref="M648">IF(patients[[#This Row],[length_of_stay]]&gt;patients!$N$2:$N$2,"Over average","Less than average")</f>
        <v>Over average</v>
      </c>
    </row>
    <row r="649" spans="2:13" x14ac:dyDescent="0.25">
      <c r="B649" s="1" t="s">
        <v>1303</v>
      </c>
      <c r="C649" s="1" t="s">
        <v>1304</v>
      </c>
      <c r="D649">
        <v>41</v>
      </c>
      <c r="E649" s="2">
        <v>45689</v>
      </c>
      <c r="F649" s="2">
        <v>45700</v>
      </c>
      <c r="G649" s="1" t="s">
        <v>9</v>
      </c>
      <c r="H649">
        <v>93</v>
      </c>
      <c r="I649" s="19">
        <f>patients[[#This Row],[departure_date]]-patients[[#This Row],[arrival_date]]</f>
        <v>11</v>
      </c>
      <c r="J649" t="str">
        <f>IF(patients[[#This Row],[age]] &lt; 18,"0-17",IF(patients[[#This Row],[age]] &lt; 40,"18-39",IF(patients[[#This Row],[age]] &lt; 65,"40-64","65+")))</f>
        <v>40-64</v>
      </c>
      <c r="K649" s="1" t="str">
        <f>TEXT(patients[[#This Row],[arrival_date]],"[$-409]mmmm")</f>
        <v>February</v>
      </c>
      <c r="L649" s="1">
        <f>MATCH(K649, {"January";"February";"March";"April";"May";"June";"July";"August";"September";"October";"November";"December"}, 0)</f>
        <v>2</v>
      </c>
      <c r="M649" s="1" t="str" cm="1">
        <f t="array" ref="M649">IF(patients[[#This Row],[length_of_stay]]&gt;patients!$N$2:$N$2,"Over average","Less than average")</f>
        <v>Over average</v>
      </c>
    </row>
    <row r="650" spans="2:13" x14ac:dyDescent="0.25">
      <c r="B650" s="1" t="s">
        <v>1305</v>
      </c>
      <c r="C650" s="1" t="s">
        <v>1306</v>
      </c>
      <c r="D650">
        <v>8</v>
      </c>
      <c r="E650" s="2">
        <v>45796</v>
      </c>
      <c r="F650" s="2">
        <v>45806</v>
      </c>
      <c r="G650" s="1" t="s">
        <v>17</v>
      </c>
      <c r="H650">
        <v>81</v>
      </c>
      <c r="I650" s="19">
        <f>patients[[#This Row],[departure_date]]-patients[[#This Row],[arrival_date]]</f>
        <v>10</v>
      </c>
      <c r="J650" t="str">
        <f>IF(patients[[#This Row],[age]] &lt; 18,"0-17",IF(patients[[#This Row],[age]] &lt; 40,"18-39",IF(patients[[#This Row],[age]] &lt; 65,"40-64","65+")))</f>
        <v>0-17</v>
      </c>
      <c r="K650" s="1" t="str">
        <f>TEXT(patients[[#This Row],[arrival_date]],"[$-409]mmmm")</f>
        <v>May</v>
      </c>
      <c r="L650" s="1">
        <f>MATCH(K650, {"January";"February";"March";"April";"May";"June";"July";"August";"September";"October";"November";"December"}, 0)</f>
        <v>5</v>
      </c>
      <c r="M650" s="1" t="str" cm="1">
        <f t="array" ref="M650">IF(patients[[#This Row],[length_of_stay]]&gt;patients!$N$2:$N$2,"Over average","Less than average")</f>
        <v>Over average</v>
      </c>
    </row>
    <row r="651" spans="2:13" x14ac:dyDescent="0.25">
      <c r="B651" s="1" t="s">
        <v>1307</v>
      </c>
      <c r="C651" s="1" t="s">
        <v>1308</v>
      </c>
      <c r="D651">
        <v>16</v>
      </c>
      <c r="E651" s="2">
        <v>45705</v>
      </c>
      <c r="F651" s="2">
        <v>45709</v>
      </c>
      <c r="G651" s="1" t="s">
        <v>20</v>
      </c>
      <c r="H651">
        <v>84</v>
      </c>
      <c r="I651" s="19">
        <f>patients[[#This Row],[departure_date]]-patients[[#This Row],[arrival_date]]</f>
        <v>4</v>
      </c>
      <c r="J651" t="str">
        <f>IF(patients[[#This Row],[age]] &lt; 18,"0-17",IF(patients[[#This Row],[age]] &lt; 40,"18-39",IF(patients[[#This Row],[age]] &lt; 65,"40-64","65+")))</f>
        <v>0-17</v>
      </c>
      <c r="K651" s="1" t="str">
        <f>TEXT(patients[[#This Row],[arrival_date]],"[$-409]mmmm")</f>
        <v>February</v>
      </c>
      <c r="L651" s="1">
        <f>MATCH(K651, {"January";"February";"March";"April";"May";"June";"July";"August";"September";"October";"November";"December"}, 0)</f>
        <v>2</v>
      </c>
      <c r="M651" s="1" t="str" cm="1">
        <f t="array" ref="M651">IF(patients[[#This Row],[length_of_stay]]&gt;patients!$N$2:$N$2,"Over average","Less than average")</f>
        <v>Less than average</v>
      </c>
    </row>
    <row r="652" spans="2:13" x14ac:dyDescent="0.25">
      <c r="B652" s="1" t="s">
        <v>1309</v>
      </c>
      <c r="C652" s="1" t="s">
        <v>1310</v>
      </c>
      <c r="D652">
        <v>20</v>
      </c>
      <c r="E652" s="2">
        <v>45759</v>
      </c>
      <c r="F652" s="2">
        <v>45760</v>
      </c>
      <c r="G652" s="1" t="s">
        <v>17</v>
      </c>
      <c r="H652">
        <v>60</v>
      </c>
      <c r="I652" s="19">
        <f>patients[[#This Row],[departure_date]]-patients[[#This Row],[arrival_date]]</f>
        <v>1</v>
      </c>
      <c r="J652" t="str">
        <f>IF(patients[[#This Row],[age]] &lt; 18,"0-17",IF(patients[[#This Row],[age]] &lt; 40,"18-39",IF(patients[[#This Row],[age]] &lt; 65,"40-64","65+")))</f>
        <v>18-39</v>
      </c>
      <c r="K652" s="1" t="str">
        <f>TEXT(patients[[#This Row],[arrival_date]],"[$-409]mmmm")</f>
        <v>April</v>
      </c>
      <c r="L652" s="1">
        <f>MATCH(K652, {"January";"February";"March";"April";"May";"June";"July";"August";"September";"October";"November";"December"}, 0)</f>
        <v>4</v>
      </c>
      <c r="M652" s="1" t="str" cm="1">
        <f t="array" ref="M652">IF(patients[[#This Row],[length_of_stay]]&gt;patients!$N$2:$N$2,"Over average","Less than average")</f>
        <v>Less than average</v>
      </c>
    </row>
    <row r="653" spans="2:13" x14ac:dyDescent="0.25">
      <c r="B653" s="1" t="s">
        <v>1311</v>
      </c>
      <c r="C653" s="1" t="s">
        <v>1312</v>
      </c>
      <c r="D653">
        <v>62</v>
      </c>
      <c r="E653" s="2">
        <v>45708</v>
      </c>
      <c r="F653" s="2">
        <v>45712</v>
      </c>
      <c r="G653" s="1" t="s">
        <v>17</v>
      </c>
      <c r="H653">
        <v>76</v>
      </c>
      <c r="I653" s="19">
        <f>patients[[#This Row],[departure_date]]-patients[[#This Row],[arrival_date]]</f>
        <v>4</v>
      </c>
      <c r="J653" t="str">
        <f>IF(patients[[#This Row],[age]] &lt; 18,"0-17",IF(patients[[#This Row],[age]] &lt; 40,"18-39",IF(patients[[#This Row],[age]] &lt; 65,"40-64","65+")))</f>
        <v>40-64</v>
      </c>
      <c r="K653" s="1" t="str">
        <f>TEXT(patients[[#This Row],[arrival_date]],"[$-409]mmmm")</f>
        <v>February</v>
      </c>
      <c r="L653" s="1">
        <f>MATCH(K653, {"January";"February";"March";"April";"May";"June";"July";"August";"September";"October";"November";"December"}, 0)</f>
        <v>2</v>
      </c>
      <c r="M653" s="1" t="str" cm="1">
        <f t="array" ref="M653">IF(patients[[#This Row],[length_of_stay]]&gt;patients!$N$2:$N$2,"Over average","Less than average")</f>
        <v>Less than average</v>
      </c>
    </row>
    <row r="654" spans="2:13" x14ac:dyDescent="0.25">
      <c r="B654" s="1" t="s">
        <v>1313</v>
      </c>
      <c r="C654" s="1" t="s">
        <v>1314</v>
      </c>
      <c r="D654">
        <v>87</v>
      </c>
      <c r="E654" s="2">
        <v>45761</v>
      </c>
      <c r="F654" s="2">
        <v>45768</v>
      </c>
      <c r="G654" s="1" t="s">
        <v>9</v>
      </c>
      <c r="H654">
        <v>65</v>
      </c>
      <c r="I654" s="19">
        <f>patients[[#This Row],[departure_date]]-patients[[#This Row],[arrival_date]]</f>
        <v>7</v>
      </c>
      <c r="J654" t="str">
        <f>IF(patients[[#This Row],[age]] &lt; 18,"0-17",IF(patients[[#This Row],[age]] &lt; 40,"18-39",IF(patients[[#This Row],[age]] &lt; 65,"40-64","65+")))</f>
        <v>65+</v>
      </c>
      <c r="K654" s="1" t="str">
        <f>TEXT(patients[[#This Row],[arrival_date]],"[$-409]mmmm")</f>
        <v>April</v>
      </c>
      <c r="L654" s="1">
        <f>MATCH(K654, {"January";"February";"March";"April";"May";"June";"July";"August";"September";"October";"November";"December"}, 0)</f>
        <v>4</v>
      </c>
      <c r="M654" s="1" t="str" cm="1">
        <f t="array" ref="M654">IF(patients[[#This Row],[length_of_stay]]&gt;patients!$N$2:$N$2,"Over average","Less than average")</f>
        <v>Less than average</v>
      </c>
    </row>
    <row r="655" spans="2:13" x14ac:dyDescent="0.25">
      <c r="B655" s="1" t="s">
        <v>1315</v>
      </c>
      <c r="C655" s="1" t="s">
        <v>1316</v>
      </c>
      <c r="D655">
        <v>0</v>
      </c>
      <c r="E655" s="2">
        <v>45824</v>
      </c>
      <c r="F655" s="2">
        <v>45837</v>
      </c>
      <c r="G655" s="1" t="s">
        <v>14</v>
      </c>
      <c r="H655">
        <v>76</v>
      </c>
      <c r="I655" s="19">
        <f>patients[[#This Row],[departure_date]]-patients[[#This Row],[arrival_date]]</f>
        <v>13</v>
      </c>
      <c r="J655" t="str">
        <f>IF(patients[[#This Row],[age]] &lt; 18,"0-17",IF(patients[[#This Row],[age]] &lt; 40,"18-39",IF(patients[[#This Row],[age]] &lt; 65,"40-64","65+")))</f>
        <v>0-17</v>
      </c>
      <c r="K655" s="1" t="str">
        <f>TEXT(patients[[#This Row],[arrival_date]],"[$-409]mmmm")</f>
        <v>June</v>
      </c>
      <c r="L655" s="1">
        <f>MATCH(K655, {"January";"February";"March";"April";"May";"June";"July";"August";"September";"October";"November";"December"}, 0)</f>
        <v>6</v>
      </c>
      <c r="M655" s="1" t="str" cm="1">
        <f t="array" ref="M655">IF(patients[[#This Row],[length_of_stay]]&gt;patients!$N$2:$N$2,"Over average","Less than average")</f>
        <v>Over average</v>
      </c>
    </row>
    <row r="656" spans="2:13" x14ac:dyDescent="0.25">
      <c r="B656" s="1" t="s">
        <v>1317</v>
      </c>
      <c r="C656" s="1" t="s">
        <v>1318</v>
      </c>
      <c r="D656">
        <v>33</v>
      </c>
      <c r="E656" s="2">
        <v>45826</v>
      </c>
      <c r="F656" s="2">
        <v>45839</v>
      </c>
      <c r="G656" s="1" t="s">
        <v>14</v>
      </c>
      <c r="H656">
        <v>68</v>
      </c>
      <c r="I656" s="19">
        <f>patients[[#This Row],[departure_date]]-patients[[#This Row],[arrival_date]]</f>
        <v>13</v>
      </c>
      <c r="J656" t="str">
        <f>IF(patients[[#This Row],[age]] &lt; 18,"0-17",IF(patients[[#This Row],[age]] &lt; 40,"18-39",IF(patients[[#This Row],[age]] &lt; 65,"40-64","65+")))</f>
        <v>18-39</v>
      </c>
      <c r="K656" s="1" t="str">
        <f>TEXT(patients[[#This Row],[arrival_date]],"[$-409]mmmm")</f>
        <v>June</v>
      </c>
      <c r="L656" s="1">
        <f>MATCH(K656, {"January";"February";"March";"April";"May";"June";"July";"August";"September";"October";"November";"December"}, 0)</f>
        <v>6</v>
      </c>
      <c r="M656" s="1" t="str" cm="1">
        <f t="array" ref="M656">IF(patients[[#This Row],[length_of_stay]]&gt;patients!$N$2:$N$2,"Over average","Less than average")</f>
        <v>Over average</v>
      </c>
    </row>
    <row r="657" spans="2:13" x14ac:dyDescent="0.25">
      <c r="B657" s="1" t="s">
        <v>1319</v>
      </c>
      <c r="C657" s="1" t="s">
        <v>1320</v>
      </c>
      <c r="D657">
        <v>12</v>
      </c>
      <c r="E657" s="2">
        <v>45919</v>
      </c>
      <c r="F657" s="2">
        <v>45923</v>
      </c>
      <c r="G657" s="1" t="s">
        <v>9</v>
      </c>
      <c r="H657">
        <v>62</v>
      </c>
      <c r="I657" s="19">
        <f>patients[[#This Row],[departure_date]]-patients[[#This Row],[arrival_date]]</f>
        <v>4</v>
      </c>
      <c r="J657" t="str">
        <f>IF(patients[[#This Row],[age]] &lt; 18,"0-17",IF(patients[[#This Row],[age]] &lt; 40,"18-39",IF(patients[[#This Row],[age]] &lt; 65,"40-64","65+")))</f>
        <v>0-17</v>
      </c>
      <c r="K657" s="1" t="str">
        <f>TEXT(patients[[#This Row],[arrival_date]],"[$-409]mmmm")</f>
        <v>September</v>
      </c>
      <c r="L657" s="1">
        <f>MATCH(K657, {"January";"February";"March";"April";"May";"June";"July";"August";"September";"October";"November";"December"}, 0)</f>
        <v>9</v>
      </c>
      <c r="M657" s="1" t="str" cm="1">
        <f t="array" ref="M657">IF(patients[[#This Row],[length_of_stay]]&gt;patients!$N$2:$N$2,"Over average","Less than average")</f>
        <v>Less than average</v>
      </c>
    </row>
    <row r="658" spans="2:13" x14ac:dyDescent="0.25">
      <c r="B658" s="1" t="s">
        <v>1321</v>
      </c>
      <c r="C658" s="1" t="s">
        <v>1322</v>
      </c>
      <c r="D658">
        <v>80</v>
      </c>
      <c r="E658" s="2">
        <v>45706</v>
      </c>
      <c r="F658" s="2">
        <v>45718</v>
      </c>
      <c r="G658" s="1" t="s">
        <v>14</v>
      </c>
      <c r="H658">
        <v>60</v>
      </c>
      <c r="I658" s="19">
        <f>patients[[#This Row],[departure_date]]-patients[[#This Row],[arrival_date]]</f>
        <v>12</v>
      </c>
      <c r="J658" t="str">
        <f>IF(patients[[#This Row],[age]] &lt; 18,"0-17",IF(patients[[#This Row],[age]] &lt; 40,"18-39",IF(patients[[#This Row],[age]] &lt; 65,"40-64","65+")))</f>
        <v>65+</v>
      </c>
      <c r="K658" s="1" t="str">
        <f>TEXT(patients[[#This Row],[arrival_date]],"[$-409]mmmm")</f>
        <v>February</v>
      </c>
      <c r="L658" s="1">
        <f>MATCH(K658, {"January";"February";"March";"April";"May";"June";"July";"August";"September";"October";"November";"December"}, 0)</f>
        <v>2</v>
      </c>
      <c r="M658" s="1" t="str" cm="1">
        <f t="array" ref="M658">IF(patients[[#This Row],[length_of_stay]]&gt;patients!$N$2:$N$2,"Over average","Less than average")</f>
        <v>Over average</v>
      </c>
    </row>
    <row r="659" spans="2:13" x14ac:dyDescent="0.25">
      <c r="B659" s="1" t="s">
        <v>1323</v>
      </c>
      <c r="C659" s="1" t="s">
        <v>1324</v>
      </c>
      <c r="D659">
        <v>80</v>
      </c>
      <c r="E659" s="2">
        <v>45928</v>
      </c>
      <c r="F659" s="2">
        <v>45932</v>
      </c>
      <c r="G659" s="1" t="s">
        <v>14</v>
      </c>
      <c r="H659">
        <v>91</v>
      </c>
      <c r="I659" s="19">
        <f>patients[[#This Row],[departure_date]]-patients[[#This Row],[arrival_date]]</f>
        <v>4</v>
      </c>
      <c r="J659" t="str">
        <f>IF(patients[[#This Row],[age]] &lt; 18,"0-17",IF(patients[[#This Row],[age]] &lt; 40,"18-39",IF(patients[[#This Row],[age]] &lt; 65,"40-64","65+")))</f>
        <v>65+</v>
      </c>
      <c r="K659" s="1" t="str">
        <f>TEXT(patients[[#This Row],[arrival_date]],"[$-409]mmmm")</f>
        <v>September</v>
      </c>
      <c r="L659" s="1">
        <f>MATCH(K659, {"January";"February";"March";"April";"May";"June";"July";"August";"September";"October";"November";"December"}, 0)</f>
        <v>9</v>
      </c>
      <c r="M659" s="1" t="str" cm="1">
        <f t="array" ref="M659">IF(patients[[#This Row],[length_of_stay]]&gt;patients!$N$2:$N$2,"Over average","Less than average")</f>
        <v>Less than average</v>
      </c>
    </row>
    <row r="660" spans="2:13" x14ac:dyDescent="0.25">
      <c r="B660" s="1" t="s">
        <v>1325</v>
      </c>
      <c r="C660" s="1" t="s">
        <v>1326</v>
      </c>
      <c r="D660">
        <v>67</v>
      </c>
      <c r="E660" s="2">
        <v>45996</v>
      </c>
      <c r="F660" s="2">
        <v>46007</v>
      </c>
      <c r="G660" s="1" t="s">
        <v>9</v>
      </c>
      <c r="H660">
        <v>94</v>
      </c>
      <c r="I660" s="19">
        <f>patients[[#This Row],[departure_date]]-patients[[#This Row],[arrival_date]]</f>
        <v>11</v>
      </c>
      <c r="J660" t="str">
        <f>IF(patients[[#This Row],[age]] &lt; 18,"0-17",IF(patients[[#This Row],[age]] &lt; 40,"18-39",IF(patients[[#This Row],[age]] &lt; 65,"40-64","65+")))</f>
        <v>65+</v>
      </c>
      <c r="K660" s="1" t="str">
        <f>TEXT(patients[[#This Row],[arrival_date]],"[$-409]mmmm")</f>
        <v>December</v>
      </c>
      <c r="L660" s="1">
        <f>MATCH(K660, {"January";"February";"March";"April";"May";"June";"July";"August";"September";"October";"November";"December"}, 0)</f>
        <v>12</v>
      </c>
      <c r="M660" s="1" t="str" cm="1">
        <f t="array" ref="M660">IF(patients[[#This Row],[length_of_stay]]&gt;patients!$N$2:$N$2,"Over average","Less than average")</f>
        <v>Over average</v>
      </c>
    </row>
    <row r="661" spans="2:13" x14ac:dyDescent="0.25">
      <c r="B661" s="1" t="s">
        <v>1327</v>
      </c>
      <c r="C661" s="1" t="s">
        <v>1328</v>
      </c>
      <c r="D661">
        <v>77</v>
      </c>
      <c r="E661" s="2">
        <v>45946</v>
      </c>
      <c r="F661" s="2">
        <v>45960</v>
      </c>
      <c r="G661" s="1" t="s">
        <v>9</v>
      </c>
      <c r="H661">
        <v>93</v>
      </c>
      <c r="I661" s="19">
        <f>patients[[#This Row],[departure_date]]-patients[[#This Row],[arrival_date]]</f>
        <v>14</v>
      </c>
      <c r="J661" t="str">
        <f>IF(patients[[#This Row],[age]] &lt; 18,"0-17",IF(patients[[#This Row],[age]] &lt; 40,"18-39",IF(patients[[#This Row],[age]] &lt; 65,"40-64","65+")))</f>
        <v>65+</v>
      </c>
      <c r="K661" s="1" t="str">
        <f>TEXT(patients[[#This Row],[arrival_date]],"[$-409]mmmm")</f>
        <v>October</v>
      </c>
      <c r="L661" s="1">
        <f>MATCH(K661, {"January";"February";"March";"April";"May";"June";"July";"August";"September";"October";"November";"December"}, 0)</f>
        <v>10</v>
      </c>
      <c r="M661" s="1" t="str" cm="1">
        <f t="array" ref="M661">IF(patients[[#This Row],[length_of_stay]]&gt;patients!$N$2:$N$2,"Over average","Less than average")</f>
        <v>Over average</v>
      </c>
    </row>
    <row r="662" spans="2:13" x14ac:dyDescent="0.25">
      <c r="B662" s="1" t="s">
        <v>1329</v>
      </c>
      <c r="C662" s="1" t="s">
        <v>1330</v>
      </c>
      <c r="D662">
        <v>60</v>
      </c>
      <c r="E662" s="2">
        <v>45873</v>
      </c>
      <c r="F662" s="2">
        <v>45884</v>
      </c>
      <c r="G662" s="1" t="s">
        <v>14</v>
      </c>
      <c r="H662">
        <v>88</v>
      </c>
      <c r="I662" s="19">
        <f>patients[[#This Row],[departure_date]]-patients[[#This Row],[arrival_date]]</f>
        <v>11</v>
      </c>
      <c r="J662" t="str">
        <f>IF(patients[[#This Row],[age]] &lt; 18,"0-17",IF(patients[[#This Row],[age]] &lt; 40,"18-39",IF(patients[[#This Row],[age]] &lt; 65,"40-64","65+")))</f>
        <v>40-64</v>
      </c>
      <c r="K662" s="1" t="str">
        <f>TEXT(patients[[#This Row],[arrival_date]],"[$-409]mmmm")</f>
        <v>August</v>
      </c>
      <c r="L662" s="1">
        <f>MATCH(K662, {"January";"February";"March";"April";"May";"June";"July";"August";"September";"October";"November";"December"}, 0)</f>
        <v>8</v>
      </c>
      <c r="M662" s="1" t="str" cm="1">
        <f t="array" ref="M662">IF(patients[[#This Row],[length_of_stay]]&gt;patients!$N$2:$N$2,"Over average","Less than average")</f>
        <v>Over average</v>
      </c>
    </row>
    <row r="663" spans="2:13" x14ac:dyDescent="0.25">
      <c r="B663" s="1" t="s">
        <v>1331</v>
      </c>
      <c r="C663" s="1" t="s">
        <v>1332</v>
      </c>
      <c r="D663">
        <v>82</v>
      </c>
      <c r="E663" s="2">
        <v>45825</v>
      </c>
      <c r="F663" s="2">
        <v>45828</v>
      </c>
      <c r="G663" s="1" t="s">
        <v>9</v>
      </c>
      <c r="H663">
        <v>60</v>
      </c>
      <c r="I663" s="19">
        <f>patients[[#This Row],[departure_date]]-patients[[#This Row],[arrival_date]]</f>
        <v>3</v>
      </c>
      <c r="J663" t="str">
        <f>IF(patients[[#This Row],[age]] &lt; 18,"0-17",IF(patients[[#This Row],[age]] &lt; 40,"18-39",IF(patients[[#This Row],[age]] &lt; 65,"40-64","65+")))</f>
        <v>65+</v>
      </c>
      <c r="K663" s="1" t="str">
        <f>TEXT(patients[[#This Row],[arrival_date]],"[$-409]mmmm")</f>
        <v>June</v>
      </c>
      <c r="L663" s="1">
        <f>MATCH(K663, {"January";"February";"March";"April";"May";"June";"July";"August";"September";"October";"November";"December"}, 0)</f>
        <v>6</v>
      </c>
      <c r="M663" s="1" t="str" cm="1">
        <f t="array" ref="M663">IF(patients[[#This Row],[length_of_stay]]&gt;patients!$N$2:$N$2,"Over average","Less than average")</f>
        <v>Less than average</v>
      </c>
    </row>
    <row r="664" spans="2:13" x14ac:dyDescent="0.25">
      <c r="B664" s="1" t="s">
        <v>1333</v>
      </c>
      <c r="C664" s="1" t="s">
        <v>1334</v>
      </c>
      <c r="D664">
        <v>68</v>
      </c>
      <c r="E664" s="2">
        <v>45993</v>
      </c>
      <c r="F664" s="2">
        <v>45999</v>
      </c>
      <c r="G664" s="1" t="s">
        <v>14</v>
      </c>
      <c r="H664">
        <v>99</v>
      </c>
      <c r="I664" s="19">
        <f>patients[[#This Row],[departure_date]]-patients[[#This Row],[arrival_date]]</f>
        <v>6</v>
      </c>
      <c r="J664" t="str">
        <f>IF(patients[[#This Row],[age]] &lt; 18,"0-17",IF(patients[[#This Row],[age]] &lt; 40,"18-39",IF(patients[[#This Row],[age]] &lt; 65,"40-64","65+")))</f>
        <v>65+</v>
      </c>
      <c r="K664" s="1" t="str">
        <f>TEXT(patients[[#This Row],[arrival_date]],"[$-409]mmmm")</f>
        <v>December</v>
      </c>
      <c r="L664" s="1">
        <f>MATCH(K664, {"January";"February";"March";"April";"May";"June";"July";"August";"September";"October";"November";"December"}, 0)</f>
        <v>12</v>
      </c>
      <c r="M664" s="1" t="str" cm="1">
        <f t="array" ref="M664">IF(patients[[#This Row],[length_of_stay]]&gt;patients!$N$2:$N$2,"Over average","Less than average")</f>
        <v>Less than average</v>
      </c>
    </row>
    <row r="665" spans="2:13" x14ac:dyDescent="0.25">
      <c r="B665" s="1" t="s">
        <v>1335</v>
      </c>
      <c r="C665" s="1" t="s">
        <v>1336</v>
      </c>
      <c r="D665">
        <v>12</v>
      </c>
      <c r="E665" s="2">
        <v>45977</v>
      </c>
      <c r="F665" s="2">
        <v>45991</v>
      </c>
      <c r="G665" s="1" t="s">
        <v>20</v>
      </c>
      <c r="H665">
        <v>94</v>
      </c>
      <c r="I665" s="19">
        <f>patients[[#This Row],[departure_date]]-patients[[#This Row],[arrival_date]]</f>
        <v>14</v>
      </c>
      <c r="J665" t="str">
        <f>IF(patients[[#This Row],[age]] &lt; 18,"0-17",IF(patients[[#This Row],[age]] &lt; 40,"18-39",IF(patients[[#This Row],[age]] &lt; 65,"40-64","65+")))</f>
        <v>0-17</v>
      </c>
      <c r="K665" s="1" t="str">
        <f>TEXT(patients[[#This Row],[arrival_date]],"[$-409]mmmm")</f>
        <v>November</v>
      </c>
      <c r="L665" s="1">
        <f>MATCH(K665, {"January";"February";"March";"April";"May";"June";"July";"August";"September";"October";"November";"December"}, 0)</f>
        <v>11</v>
      </c>
      <c r="M665" s="1" t="str" cm="1">
        <f t="array" ref="M665">IF(patients[[#This Row],[length_of_stay]]&gt;patients!$N$2:$N$2,"Over average","Less than average")</f>
        <v>Over average</v>
      </c>
    </row>
    <row r="666" spans="2:13" x14ac:dyDescent="0.25">
      <c r="B666" s="1" t="s">
        <v>1337</v>
      </c>
      <c r="C666" s="1" t="s">
        <v>1338</v>
      </c>
      <c r="D666">
        <v>18</v>
      </c>
      <c r="E666" s="2">
        <v>45737</v>
      </c>
      <c r="F666" s="2">
        <v>45748</v>
      </c>
      <c r="G666" s="1" t="s">
        <v>20</v>
      </c>
      <c r="H666">
        <v>69</v>
      </c>
      <c r="I666" s="19">
        <f>patients[[#This Row],[departure_date]]-patients[[#This Row],[arrival_date]]</f>
        <v>11</v>
      </c>
      <c r="J666" t="str">
        <f>IF(patients[[#This Row],[age]] &lt; 18,"0-17",IF(patients[[#This Row],[age]] &lt; 40,"18-39",IF(patients[[#This Row],[age]] &lt; 65,"40-64","65+")))</f>
        <v>18-39</v>
      </c>
      <c r="K666" s="1" t="str">
        <f>TEXT(patients[[#This Row],[arrival_date]],"[$-409]mmmm")</f>
        <v>March</v>
      </c>
      <c r="L666" s="1">
        <f>MATCH(K666, {"January";"February";"March";"April";"May";"June";"July";"August";"September";"October";"November";"December"}, 0)</f>
        <v>3</v>
      </c>
      <c r="M666" s="1" t="str" cm="1">
        <f t="array" ref="M666">IF(patients[[#This Row],[length_of_stay]]&gt;patients!$N$2:$N$2,"Over average","Less than average")</f>
        <v>Over average</v>
      </c>
    </row>
    <row r="667" spans="2:13" x14ac:dyDescent="0.25">
      <c r="B667" s="1" t="s">
        <v>1339</v>
      </c>
      <c r="C667" s="1" t="s">
        <v>1340</v>
      </c>
      <c r="D667">
        <v>88</v>
      </c>
      <c r="E667" s="2">
        <v>45752</v>
      </c>
      <c r="F667" s="2">
        <v>45756</v>
      </c>
      <c r="G667" s="1" t="s">
        <v>20</v>
      </c>
      <c r="H667">
        <v>82</v>
      </c>
      <c r="I667" s="19">
        <f>patients[[#This Row],[departure_date]]-patients[[#This Row],[arrival_date]]</f>
        <v>4</v>
      </c>
      <c r="J667" t="str">
        <f>IF(patients[[#This Row],[age]] &lt; 18,"0-17",IF(patients[[#This Row],[age]] &lt; 40,"18-39",IF(patients[[#This Row],[age]] &lt; 65,"40-64","65+")))</f>
        <v>65+</v>
      </c>
      <c r="K667" s="1" t="str">
        <f>TEXT(patients[[#This Row],[arrival_date]],"[$-409]mmmm")</f>
        <v>April</v>
      </c>
      <c r="L667" s="1">
        <f>MATCH(K667, {"January";"February";"March";"April";"May";"June";"July";"August";"September";"October";"November";"December"}, 0)</f>
        <v>4</v>
      </c>
      <c r="M667" s="1" t="str" cm="1">
        <f t="array" ref="M667">IF(patients[[#This Row],[length_of_stay]]&gt;patients!$N$2:$N$2,"Over average","Less than average")</f>
        <v>Less than average</v>
      </c>
    </row>
    <row r="668" spans="2:13" x14ac:dyDescent="0.25">
      <c r="B668" s="1" t="s">
        <v>1341</v>
      </c>
      <c r="C668" s="1" t="s">
        <v>1342</v>
      </c>
      <c r="D668">
        <v>1</v>
      </c>
      <c r="E668" s="2">
        <v>45679</v>
      </c>
      <c r="F668" s="2">
        <v>45682</v>
      </c>
      <c r="G668" s="1" t="s">
        <v>20</v>
      </c>
      <c r="H668">
        <v>96</v>
      </c>
      <c r="I668" s="19">
        <f>patients[[#This Row],[departure_date]]-patients[[#This Row],[arrival_date]]</f>
        <v>3</v>
      </c>
      <c r="J668" t="str">
        <f>IF(patients[[#This Row],[age]] &lt; 18,"0-17",IF(patients[[#This Row],[age]] &lt; 40,"18-39",IF(patients[[#This Row],[age]] &lt; 65,"40-64","65+")))</f>
        <v>0-17</v>
      </c>
      <c r="K668" s="1" t="str">
        <f>TEXT(patients[[#This Row],[arrival_date]],"[$-409]mmmm")</f>
        <v>January</v>
      </c>
      <c r="L668" s="1">
        <f>MATCH(K668, {"January";"February";"March";"April";"May";"June";"July";"August";"September";"October";"November";"December"}, 0)</f>
        <v>1</v>
      </c>
      <c r="M668" s="1" t="str" cm="1">
        <f t="array" ref="M668">IF(patients[[#This Row],[length_of_stay]]&gt;patients!$N$2:$N$2,"Over average","Less than average")</f>
        <v>Less than average</v>
      </c>
    </row>
    <row r="669" spans="2:13" x14ac:dyDescent="0.25">
      <c r="B669" s="1" t="s">
        <v>1343</v>
      </c>
      <c r="C669" s="1" t="s">
        <v>1344</v>
      </c>
      <c r="D669">
        <v>71</v>
      </c>
      <c r="E669" s="2">
        <v>45863</v>
      </c>
      <c r="F669" s="2">
        <v>45871</v>
      </c>
      <c r="G669" s="1" t="s">
        <v>14</v>
      </c>
      <c r="H669">
        <v>62</v>
      </c>
      <c r="I669" s="19">
        <f>patients[[#This Row],[departure_date]]-patients[[#This Row],[arrival_date]]</f>
        <v>8</v>
      </c>
      <c r="J669" t="str">
        <f>IF(patients[[#This Row],[age]] &lt; 18,"0-17",IF(patients[[#This Row],[age]] &lt; 40,"18-39",IF(patients[[#This Row],[age]] &lt; 65,"40-64","65+")))</f>
        <v>65+</v>
      </c>
      <c r="K669" s="1" t="str">
        <f>TEXT(patients[[#This Row],[arrival_date]],"[$-409]mmmm")</f>
        <v>July</v>
      </c>
      <c r="L669" s="1">
        <f>MATCH(K669, {"January";"February";"March";"April";"May";"June";"July";"August";"September";"October";"November";"December"}, 0)</f>
        <v>7</v>
      </c>
      <c r="M669" s="1" t="str" cm="1">
        <f t="array" ref="M669">IF(patients[[#This Row],[length_of_stay]]&gt;patients!$N$2:$N$2,"Over average","Less than average")</f>
        <v>Over average</v>
      </c>
    </row>
    <row r="670" spans="2:13" x14ac:dyDescent="0.25">
      <c r="B670" s="1" t="s">
        <v>1345</v>
      </c>
      <c r="C670" s="1" t="s">
        <v>1346</v>
      </c>
      <c r="D670">
        <v>15</v>
      </c>
      <c r="E670" s="2">
        <v>45740</v>
      </c>
      <c r="F670" s="2">
        <v>45743</v>
      </c>
      <c r="G670" s="1" t="s">
        <v>14</v>
      </c>
      <c r="H670">
        <v>77</v>
      </c>
      <c r="I670" s="19">
        <f>patients[[#This Row],[departure_date]]-patients[[#This Row],[arrival_date]]</f>
        <v>3</v>
      </c>
      <c r="J670" t="str">
        <f>IF(patients[[#This Row],[age]] &lt; 18,"0-17",IF(patients[[#This Row],[age]] &lt; 40,"18-39",IF(patients[[#This Row],[age]] &lt; 65,"40-64","65+")))</f>
        <v>0-17</v>
      </c>
      <c r="K670" s="1" t="str">
        <f>TEXT(patients[[#This Row],[arrival_date]],"[$-409]mmmm")</f>
        <v>March</v>
      </c>
      <c r="L670" s="1">
        <f>MATCH(K670, {"January";"February";"March";"April";"May";"June";"July";"August";"September";"October";"November";"December"}, 0)</f>
        <v>3</v>
      </c>
      <c r="M670" s="1" t="str" cm="1">
        <f t="array" ref="M670">IF(patients[[#This Row],[length_of_stay]]&gt;patients!$N$2:$N$2,"Over average","Less than average")</f>
        <v>Less than average</v>
      </c>
    </row>
    <row r="671" spans="2:13" x14ac:dyDescent="0.25">
      <c r="B671" s="1" t="s">
        <v>1347</v>
      </c>
      <c r="C671" s="1" t="s">
        <v>1348</v>
      </c>
      <c r="D671">
        <v>79</v>
      </c>
      <c r="E671" s="2">
        <v>45781</v>
      </c>
      <c r="F671" s="2">
        <v>45782</v>
      </c>
      <c r="G671" s="1" t="s">
        <v>20</v>
      </c>
      <c r="H671">
        <v>71</v>
      </c>
      <c r="I671" s="19">
        <f>patients[[#This Row],[departure_date]]-patients[[#This Row],[arrival_date]]</f>
        <v>1</v>
      </c>
      <c r="J671" t="str">
        <f>IF(patients[[#This Row],[age]] &lt; 18,"0-17",IF(patients[[#This Row],[age]] &lt; 40,"18-39",IF(patients[[#This Row],[age]] &lt; 65,"40-64","65+")))</f>
        <v>65+</v>
      </c>
      <c r="K671" s="1" t="str">
        <f>TEXT(patients[[#This Row],[arrival_date]],"[$-409]mmmm")</f>
        <v>May</v>
      </c>
      <c r="L671" s="1">
        <f>MATCH(K671, {"January";"February";"March";"April";"May";"June";"July";"August";"September";"October";"November";"December"}, 0)</f>
        <v>5</v>
      </c>
      <c r="M671" s="1" t="str" cm="1">
        <f t="array" ref="M671">IF(patients[[#This Row],[length_of_stay]]&gt;patients!$N$2:$N$2,"Over average","Less than average")</f>
        <v>Less than average</v>
      </c>
    </row>
    <row r="672" spans="2:13" x14ac:dyDescent="0.25">
      <c r="B672" s="1" t="s">
        <v>1349</v>
      </c>
      <c r="C672" s="1" t="s">
        <v>1350</v>
      </c>
      <c r="D672">
        <v>52</v>
      </c>
      <c r="E672" s="2">
        <v>45940</v>
      </c>
      <c r="F672" s="2">
        <v>45952</v>
      </c>
      <c r="G672" s="1" t="s">
        <v>14</v>
      </c>
      <c r="H672">
        <v>76</v>
      </c>
      <c r="I672" s="19">
        <f>patients[[#This Row],[departure_date]]-patients[[#This Row],[arrival_date]]</f>
        <v>12</v>
      </c>
      <c r="J672" t="str">
        <f>IF(patients[[#This Row],[age]] &lt; 18,"0-17",IF(patients[[#This Row],[age]] &lt; 40,"18-39",IF(patients[[#This Row],[age]] &lt; 65,"40-64","65+")))</f>
        <v>40-64</v>
      </c>
      <c r="K672" s="1" t="str">
        <f>TEXT(patients[[#This Row],[arrival_date]],"[$-409]mmmm")</f>
        <v>October</v>
      </c>
      <c r="L672" s="1">
        <f>MATCH(K672, {"January";"February";"March";"April";"May";"June";"July";"August";"September";"October";"November";"December"}, 0)</f>
        <v>10</v>
      </c>
      <c r="M672" s="1" t="str" cm="1">
        <f t="array" ref="M672">IF(patients[[#This Row],[length_of_stay]]&gt;patients!$N$2:$N$2,"Over average","Less than average")</f>
        <v>Over average</v>
      </c>
    </row>
    <row r="673" spans="2:13" x14ac:dyDescent="0.25">
      <c r="B673" s="1" t="s">
        <v>1351</v>
      </c>
      <c r="C673" s="1" t="s">
        <v>1352</v>
      </c>
      <c r="D673">
        <v>5</v>
      </c>
      <c r="E673" s="2">
        <v>45662</v>
      </c>
      <c r="F673" s="2">
        <v>45671</v>
      </c>
      <c r="G673" s="1" t="s">
        <v>17</v>
      </c>
      <c r="H673">
        <v>87</v>
      </c>
      <c r="I673" s="19">
        <f>patients[[#This Row],[departure_date]]-patients[[#This Row],[arrival_date]]</f>
        <v>9</v>
      </c>
      <c r="J673" t="str">
        <f>IF(patients[[#This Row],[age]] &lt; 18,"0-17",IF(patients[[#This Row],[age]] &lt; 40,"18-39",IF(patients[[#This Row],[age]] &lt; 65,"40-64","65+")))</f>
        <v>0-17</v>
      </c>
      <c r="K673" s="1" t="str">
        <f>TEXT(patients[[#This Row],[arrival_date]],"[$-409]mmmm")</f>
        <v>January</v>
      </c>
      <c r="L673" s="1">
        <f>MATCH(K673, {"January";"February";"March";"April";"May";"June";"July";"August";"September";"October";"November";"December"}, 0)</f>
        <v>1</v>
      </c>
      <c r="M673" s="1" t="str" cm="1">
        <f t="array" ref="M673">IF(patients[[#This Row],[length_of_stay]]&gt;patients!$N$2:$N$2,"Over average","Less than average")</f>
        <v>Over average</v>
      </c>
    </row>
    <row r="674" spans="2:13" x14ac:dyDescent="0.25">
      <c r="B674" s="1" t="s">
        <v>1353</v>
      </c>
      <c r="C674" s="1" t="s">
        <v>1354</v>
      </c>
      <c r="D674">
        <v>77</v>
      </c>
      <c r="E674" s="2">
        <v>45775</v>
      </c>
      <c r="F674" s="2">
        <v>45783</v>
      </c>
      <c r="G674" s="1" t="s">
        <v>17</v>
      </c>
      <c r="H674">
        <v>92</v>
      </c>
      <c r="I674" s="19">
        <f>patients[[#This Row],[departure_date]]-patients[[#This Row],[arrival_date]]</f>
        <v>8</v>
      </c>
      <c r="J674" t="str">
        <f>IF(patients[[#This Row],[age]] &lt; 18,"0-17",IF(patients[[#This Row],[age]] &lt; 40,"18-39",IF(patients[[#This Row],[age]] &lt; 65,"40-64","65+")))</f>
        <v>65+</v>
      </c>
      <c r="K674" s="1" t="str">
        <f>TEXT(patients[[#This Row],[arrival_date]],"[$-409]mmmm")</f>
        <v>April</v>
      </c>
      <c r="L674" s="1">
        <f>MATCH(K674, {"January";"February";"March";"April";"May";"June";"July";"August";"September";"October";"November";"December"}, 0)</f>
        <v>4</v>
      </c>
      <c r="M674" s="1" t="str" cm="1">
        <f t="array" ref="M674">IF(patients[[#This Row],[length_of_stay]]&gt;patients!$N$2:$N$2,"Over average","Less than average")</f>
        <v>Over average</v>
      </c>
    </row>
    <row r="675" spans="2:13" x14ac:dyDescent="0.25">
      <c r="B675" s="1" t="s">
        <v>1355</v>
      </c>
      <c r="C675" s="1" t="s">
        <v>1356</v>
      </c>
      <c r="D675">
        <v>61</v>
      </c>
      <c r="E675" s="2">
        <v>45676</v>
      </c>
      <c r="F675" s="2">
        <v>45682</v>
      </c>
      <c r="G675" s="1" t="s">
        <v>9</v>
      </c>
      <c r="H675">
        <v>64</v>
      </c>
      <c r="I675" s="19">
        <f>patients[[#This Row],[departure_date]]-patients[[#This Row],[arrival_date]]</f>
        <v>6</v>
      </c>
      <c r="J675" t="str">
        <f>IF(patients[[#This Row],[age]] &lt; 18,"0-17",IF(patients[[#This Row],[age]] &lt; 40,"18-39",IF(patients[[#This Row],[age]] &lt; 65,"40-64","65+")))</f>
        <v>40-64</v>
      </c>
      <c r="K675" s="1" t="str">
        <f>TEXT(patients[[#This Row],[arrival_date]],"[$-409]mmmm")</f>
        <v>January</v>
      </c>
      <c r="L675" s="1">
        <f>MATCH(K675, {"January";"February";"March";"April";"May";"June";"July";"August";"September";"October";"November";"December"}, 0)</f>
        <v>1</v>
      </c>
      <c r="M675" s="1" t="str" cm="1">
        <f t="array" ref="M675">IF(patients[[#This Row],[length_of_stay]]&gt;patients!$N$2:$N$2,"Over average","Less than average")</f>
        <v>Less than average</v>
      </c>
    </row>
    <row r="676" spans="2:13" x14ac:dyDescent="0.25">
      <c r="B676" s="1" t="s">
        <v>1357</v>
      </c>
      <c r="C676" s="1" t="s">
        <v>1358</v>
      </c>
      <c r="D676">
        <v>65</v>
      </c>
      <c r="E676" s="2">
        <v>45704</v>
      </c>
      <c r="F676" s="2">
        <v>45711</v>
      </c>
      <c r="G676" s="1" t="s">
        <v>9</v>
      </c>
      <c r="H676">
        <v>63</v>
      </c>
      <c r="I676" s="19">
        <f>patients[[#This Row],[departure_date]]-patients[[#This Row],[arrival_date]]</f>
        <v>7</v>
      </c>
      <c r="J676" t="str">
        <f>IF(patients[[#This Row],[age]] &lt; 18,"0-17",IF(patients[[#This Row],[age]] &lt; 40,"18-39",IF(patients[[#This Row],[age]] &lt; 65,"40-64","65+")))</f>
        <v>65+</v>
      </c>
      <c r="K676" s="1" t="str">
        <f>TEXT(patients[[#This Row],[arrival_date]],"[$-409]mmmm")</f>
        <v>February</v>
      </c>
      <c r="L676" s="1">
        <f>MATCH(K676, {"January";"February";"March";"April";"May";"June";"July";"August";"September";"October";"November";"December"}, 0)</f>
        <v>2</v>
      </c>
      <c r="M676" s="1" t="str" cm="1">
        <f t="array" ref="M676">IF(patients[[#This Row],[length_of_stay]]&gt;patients!$N$2:$N$2,"Over average","Less than average")</f>
        <v>Less than average</v>
      </c>
    </row>
    <row r="677" spans="2:13" x14ac:dyDescent="0.25">
      <c r="B677" s="1" t="s">
        <v>1359</v>
      </c>
      <c r="C677" s="1" t="s">
        <v>1360</v>
      </c>
      <c r="D677">
        <v>32</v>
      </c>
      <c r="E677" s="2">
        <v>45741</v>
      </c>
      <c r="F677" s="2">
        <v>45747</v>
      </c>
      <c r="G677" s="1" t="s">
        <v>17</v>
      </c>
      <c r="H677">
        <v>66</v>
      </c>
      <c r="I677" s="19">
        <f>patients[[#This Row],[departure_date]]-patients[[#This Row],[arrival_date]]</f>
        <v>6</v>
      </c>
      <c r="J677" t="str">
        <f>IF(patients[[#This Row],[age]] &lt; 18,"0-17",IF(patients[[#This Row],[age]] &lt; 40,"18-39",IF(patients[[#This Row],[age]] &lt; 65,"40-64","65+")))</f>
        <v>18-39</v>
      </c>
      <c r="K677" s="1" t="str">
        <f>TEXT(patients[[#This Row],[arrival_date]],"[$-409]mmmm")</f>
        <v>March</v>
      </c>
      <c r="L677" s="1">
        <f>MATCH(K677, {"January";"February";"March";"April";"May";"June";"July";"August";"September";"October";"November";"December"}, 0)</f>
        <v>3</v>
      </c>
      <c r="M677" s="1" t="str" cm="1">
        <f t="array" ref="M677">IF(patients[[#This Row],[length_of_stay]]&gt;patients!$N$2:$N$2,"Over average","Less than average")</f>
        <v>Less than average</v>
      </c>
    </row>
    <row r="678" spans="2:13" x14ac:dyDescent="0.25">
      <c r="B678" s="1" t="s">
        <v>1361</v>
      </c>
      <c r="C678" s="1" t="s">
        <v>1362</v>
      </c>
      <c r="D678">
        <v>78</v>
      </c>
      <c r="E678" s="2">
        <v>45671</v>
      </c>
      <c r="F678" s="2">
        <v>45678</v>
      </c>
      <c r="G678" s="1" t="s">
        <v>14</v>
      </c>
      <c r="H678">
        <v>78</v>
      </c>
      <c r="I678" s="19">
        <f>patients[[#This Row],[departure_date]]-patients[[#This Row],[arrival_date]]</f>
        <v>7</v>
      </c>
      <c r="J678" t="str">
        <f>IF(patients[[#This Row],[age]] &lt; 18,"0-17",IF(patients[[#This Row],[age]] &lt; 40,"18-39",IF(patients[[#This Row],[age]] &lt; 65,"40-64","65+")))</f>
        <v>65+</v>
      </c>
      <c r="K678" s="1" t="str">
        <f>TEXT(patients[[#This Row],[arrival_date]],"[$-409]mmmm")</f>
        <v>January</v>
      </c>
      <c r="L678" s="1">
        <f>MATCH(K678, {"January";"February";"March";"April";"May";"June";"July";"August";"September";"October";"November";"December"}, 0)</f>
        <v>1</v>
      </c>
      <c r="M678" s="1" t="str" cm="1">
        <f t="array" ref="M678">IF(patients[[#This Row],[length_of_stay]]&gt;patients!$N$2:$N$2,"Over average","Less than average")</f>
        <v>Less than average</v>
      </c>
    </row>
    <row r="679" spans="2:13" x14ac:dyDescent="0.25">
      <c r="B679" s="1" t="s">
        <v>1363</v>
      </c>
      <c r="C679" s="1" t="s">
        <v>1028</v>
      </c>
      <c r="D679">
        <v>53</v>
      </c>
      <c r="E679" s="2">
        <v>45905</v>
      </c>
      <c r="F679" s="2">
        <v>45909</v>
      </c>
      <c r="G679" s="1" t="s">
        <v>17</v>
      </c>
      <c r="H679">
        <v>88</v>
      </c>
      <c r="I679" s="19">
        <f>patients[[#This Row],[departure_date]]-patients[[#This Row],[arrival_date]]</f>
        <v>4</v>
      </c>
      <c r="J679" t="str">
        <f>IF(patients[[#This Row],[age]] &lt; 18,"0-17",IF(patients[[#This Row],[age]] &lt; 40,"18-39",IF(patients[[#This Row],[age]] &lt; 65,"40-64","65+")))</f>
        <v>40-64</v>
      </c>
      <c r="K679" s="1" t="str">
        <f>TEXT(patients[[#This Row],[arrival_date]],"[$-409]mmmm")</f>
        <v>September</v>
      </c>
      <c r="L679" s="1">
        <f>MATCH(K679, {"January";"February";"March";"April";"May";"June";"July";"August";"September";"October";"November";"December"}, 0)</f>
        <v>9</v>
      </c>
      <c r="M679" s="1" t="str" cm="1">
        <f t="array" ref="M679">IF(patients[[#This Row],[length_of_stay]]&gt;patients!$N$2:$N$2,"Over average","Less than average")</f>
        <v>Less than average</v>
      </c>
    </row>
    <row r="680" spans="2:13" x14ac:dyDescent="0.25">
      <c r="B680" s="1" t="s">
        <v>1364</v>
      </c>
      <c r="C680" s="1" t="s">
        <v>1365</v>
      </c>
      <c r="D680">
        <v>23</v>
      </c>
      <c r="E680" s="2">
        <v>45976</v>
      </c>
      <c r="F680" s="2">
        <v>45986</v>
      </c>
      <c r="G680" s="1" t="s">
        <v>9</v>
      </c>
      <c r="H680">
        <v>67</v>
      </c>
      <c r="I680" s="19">
        <f>patients[[#This Row],[departure_date]]-patients[[#This Row],[arrival_date]]</f>
        <v>10</v>
      </c>
      <c r="J680" t="str">
        <f>IF(patients[[#This Row],[age]] &lt; 18,"0-17",IF(patients[[#This Row],[age]] &lt; 40,"18-39",IF(patients[[#This Row],[age]] &lt; 65,"40-64","65+")))</f>
        <v>18-39</v>
      </c>
      <c r="K680" s="1" t="str">
        <f>TEXT(patients[[#This Row],[arrival_date]],"[$-409]mmmm")</f>
        <v>November</v>
      </c>
      <c r="L680" s="1">
        <f>MATCH(K680, {"January";"February";"March";"April";"May";"June";"July";"August";"September";"October";"November";"December"}, 0)</f>
        <v>11</v>
      </c>
      <c r="M680" s="1" t="str" cm="1">
        <f t="array" ref="M680">IF(patients[[#This Row],[length_of_stay]]&gt;patients!$N$2:$N$2,"Over average","Less than average")</f>
        <v>Over average</v>
      </c>
    </row>
    <row r="681" spans="2:13" x14ac:dyDescent="0.25">
      <c r="B681" s="1" t="s">
        <v>1366</v>
      </c>
      <c r="C681" s="1" t="s">
        <v>1367</v>
      </c>
      <c r="D681">
        <v>89</v>
      </c>
      <c r="E681" s="2">
        <v>45814</v>
      </c>
      <c r="F681" s="2">
        <v>45824</v>
      </c>
      <c r="G681" s="1" t="s">
        <v>9</v>
      </c>
      <c r="H681">
        <v>76</v>
      </c>
      <c r="I681" s="19">
        <f>patients[[#This Row],[departure_date]]-patients[[#This Row],[arrival_date]]</f>
        <v>10</v>
      </c>
      <c r="J681" t="str">
        <f>IF(patients[[#This Row],[age]] &lt; 18,"0-17",IF(patients[[#This Row],[age]] &lt; 40,"18-39",IF(patients[[#This Row],[age]] &lt; 65,"40-64","65+")))</f>
        <v>65+</v>
      </c>
      <c r="K681" s="1" t="str">
        <f>TEXT(patients[[#This Row],[arrival_date]],"[$-409]mmmm")</f>
        <v>June</v>
      </c>
      <c r="L681" s="1">
        <f>MATCH(K681, {"January";"February";"March";"April";"May";"June";"July";"August";"September";"October";"November";"December"}, 0)</f>
        <v>6</v>
      </c>
      <c r="M681" s="1" t="str" cm="1">
        <f t="array" ref="M681">IF(patients[[#This Row],[length_of_stay]]&gt;patients!$N$2:$N$2,"Over average","Less than average")</f>
        <v>Over average</v>
      </c>
    </row>
    <row r="682" spans="2:13" x14ac:dyDescent="0.25">
      <c r="B682" s="1" t="s">
        <v>1368</v>
      </c>
      <c r="C682" s="1" t="s">
        <v>1369</v>
      </c>
      <c r="D682">
        <v>65</v>
      </c>
      <c r="E682" s="2">
        <v>45715</v>
      </c>
      <c r="F682" s="2">
        <v>45720</v>
      </c>
      <c r="G682" s="1" t="s">
        <v>9</v>
      </c>
      <c r="H682">
        <v>87</v>
      </c>
      <c r="I682" s="19">
        <f>patients[[#This Row],[departure_date]]-patients[[#This Row],[arrival_date]]</f>
        <v>5</v>
      </c>
      <c r="J682" t="str">
        <f>IF(patients[[#This Row],[age]] &lt; 18,"0-17",IF(patients[[#This Row],[age]] &lt; 40,"18-39",IF(patients[[#This Row],[age]] &lt; 65,"40-64","65+")))</f>
        <v>65+</v>
      </c>
      <c r="K682" s="1" t="str">
        <f>TEXT(patients[[#This Row],[arrival_date]],"[$-409]mmmm")</f>
        <v>February</v>
      </c>
      <c r="L682" s="1">
        <f>MATCH(K682, {"January";"February";"March";"April";"May";"June";"July";"August";"September";"October";"November";"December"}, 0)</f>
        <v>2</v>
      </c>
      <c r="M682" s="1" t="str" cm="1">
        <f t="array" ref="M682">IF(patients[[#This Row],[length_of_stay]]&gt;patients!$N$2:$N$2,"Over average","Less than average")</f>
        <v>Less than average</v>
      </c>
    </row>
    <row r="683" spans="2:13" x14ac:dyDescent="0.25">
      <c r="B683" s="1" t="s">
        <v>1370</v>
      </c>
      <c r="C683" s="1" t="s">
        <v>1371</v>
      </c>
      <c r="D683">
        <v>61</v>
      </c>
      <c r="E683" s="2">
        <v>45739</v>
      </c>
      <c r="F683" s="2">
        <v>45749</v>
      </c>
      <c r="G683" s="1" t="s">
        <v>17</v>
      </c>
      <c r="H683">
        <v>79</v>
      </c>
      <c r="I683" s="19">
        <f>patients[[#This Row],[departure_date]]-patients[[#This Row],[arrival_date]]</f>
        <v>10</v>
      </c>
      <c r="J683" t="str">
        <f>IF(patients[[#This Row],[age]] &lt; 18,"0-17",IF(patients[[#This Row],[age]] &lt; 40,"18-39",IF(patients[[#This Row],[age]] &lt; 65,"40-64","65+")))</f>
        <v>40-64</v>
      </c>
      <c r="K683" s="1" t="str">
        <f>TEXT(patients[[#This Row],[arrival_date]],"[$-409]mmmm")</f>
        <v>March</v>
      </c>
      <c r="L683" s="1">
        <f>MATCH(K683, {"January";"February";"March";"April";"May";"June";"July";"August";"September";"October";"November";"December"}, 0)</f>
        <v>3</v>
      </c>
      <c r="M683" s="1" t="str" cm="1">
        <f t="array" ref="M683">IF(patients[[#This Row],[length_of_stay]]&gt;patients!$N$2:$N$2,"Over average","Less than average")</f>
        <v>Over average</v>
      </c>
    </row>
    <row r="684" spans="2:13" x14ac:dyDescent="0.25">
      <c r="B684" s="1" t="s">
        <v>1372</v>
      </c>
      <c r="C684" s="1" t="s">
        <v>1373</v>
      </c>
      <c r="D684">
        <v>40</v>
      </c>
      <c r="E684" s="2">
        <v>45876</v>
      </c>
      <c r="F684" s="2">
        <v>45877</v>
      </c>
      <c r="G684" s="1" t="s">
        <v>17</v>
      </c>
      <c r="H684">
        <v>71</v>
      </c>
      <c r="I684" s="19">
        <f>patients[[#This Row],[departure_date]]-patients[[#This Row],[arrival_date]]</f>
        <v>1</v>
      </c>
      <c r="J684" t="str">
        <f>IF(patients[[#This Row],[age]] &lt; 18,"0-17",IF(patients[[#This Row],[age]] &lt; 40,"18-39",IF(patients[[#This Row],[age]] &lt; 65,"40-64","65+")))</f>
        <v>40-64</v>
      </c>
      <c r="K684" s="1" t="str">
        <f>TEXT(patients[[#This Row],[arrival_date]],"[$-409]mmmm")</f>
        <v>August</v>
      </c>
      <c r="L684" s="1">
        <f>MATCH(K684, {"January";"February";"March";"April";"May";"June";"July";"August";"September";"October";"November";"December"}, 0)</f>
        <v>8</v>
      </c>
      <c r="M684" s="1" t="str" cm="1">
        <f t="array" ref="M684">IF(patients[[#This Row],[length_of_stay]]&gt;patients!$N$2:$N$2,"Over average","Less than average")</f>
        <v>Less than average</v>
      </c>
    </row>
    <row r="685" spans="2:13" x14ac:dyDescent="0.25">
      <c r="B685" s="1" t="s">
        <v>1374</v>
      </c>
      <c r="C685" s="1" t="s">
        <v>1375</v>
      </c>
      <c r="D685">
        <v>70</v>
      </c>
      <c r="E685" s="2">
        <v>45923</v>
      </c>
      <c r="F685" s="2">
        <v>45925</v>
      </c>
      <c r="G685" s="1" t="s">
        <v>14</v>
      </c>
      <c r="H685">
        <v>84</v>
      </c>
      <c r="I685" s="19">
        <f>patients[[#This Row],[departure_date]]-patients[[#This Row],[arrival_date]]</f>
        <v>2</v>
      </c>
      <c r="J685" t="str">
        <f>IF(patients[[#This Row],[age]] &lt; 18,"0-17",IF(patients[[#This Row],[age]] &lt; 40,"18-39",IF(patients[[#This Row],[age]] &lt; 65,"40-64","65+")))</f>
        <v>65+</v>
      </c>
      <c r="K685" s="1" t="str">
        <f>TEXT(patients[[#This Row],[arrival_date]],"[$-409]mmmm")</f>
        <v>September</v>
      </c>
      <c r="L685" s="1">
        <f>MATCH(K685, {"January";"February";"March";"April";"May";"June";"July";"August";"September";"October";"November";"December"}, 0)</f>
        <v>9</v>
      </c>
      <c r="M685" s="1" t="str" cm="1">
        <f t="array" ref="M685">IF(patients[[#This Row],[length_of_stay]]&gt;patients!$N$2:$N$2,"Over average","Less than average")</f>
        <v>Less than average</v>
      </c>
    </row>
    <row r="686" spans="2:13" x14ac:dyDescent="0.25">
      <c r="B686" s="1" t="s">
        <v>1376</v>
      </c>
      <c r="C686" s="1" t="s">
        <v>1377</v>
      </c>
      <c r="D686">
        <v>34</v>
      </c>
      <c r="E686" s="2">
        <v>45659</v>
      </c>
      <c r="F686" s="2">
        <v>45671</v>
      </c>
      <c r="G686" s="1" t="s">
        <v>20</v>
      </c>
      <c r="H686">
        <v>83</v>
      </c>
      <c r="I686" s="19">
        <f>patients[[#This Row],[departure_date]]-patients[[#This Row],[arrival_date]]</f>
        <v>12</v>
      </c>
      <c r="J686" t="str">
        <f>IF(patients[[#This Row],[age]] &lt; 18,"0-17",IF(patients[[#This Row],[age]] &lt; 40,"18-39",IF(patients[[#This Row],[age]] &lt; 65,"40-64","65+")))</f>
        <v>18-39</v>
      </c>
      <c r="K686" s="1" t="str">
        <f>TEXT(patients[[#This Row],[arrival_date]],"[$-409]mmmm")</f>
        <v>January</v>
      </c>
      <c r="L686" s="1">
        <f>MATCH(K686, {"January";"February";"March";"April";"May";"June";"July";"August";"September";"October";"November";"December"}, 0)</f>
        <v>1</v>
      </c>
      <c r="M686" s="1" t="str" cm="1">
        <f t="array" ref="M686">IF(patients[[#This Row],[length_of_stay]]&gt;patients!$N$2:$N$2,"Over average","Less than average")</f>
        <v>Over average</v>
      </c>
    </row>
    <row r="687" spans="2:13" x14ac:dyDescent="0.25">
      <c r="B687" s="1" t="s">
        <v>1378</v>
      </c>
      <c r="C687" s="1" t="s">
        <v>1379</v>
      </c>
      <c r="D687">
        <v>73</v>
      </c>
      <c r="E687" s="2">
        <v>45679</v>
      </c>
      <c r="F687" s="2">
        <v>45689</v>
      </c>
      <c r="G687" s="1" t="s">
        <v>9</v>
      </c>
      <c r="H687">
        <v>98</v>
      </c>
      <c r="I687" s="19">
        <f>patients[[#This Row],[departure_date]]-patients[[#This Row],[arrival_date]]</f>
        <v>10</v>
      </c>
      <c r="J687" t="str">
        <f>IF(patients[[#This Row],[age]] &lt; 18,"0-17",IF(patients[[#This Row],[age]] &lt; 40,"18-39",IF(patients[[#This Row],[age]] &lt; 65,"40-64","65+")))</f>
        <v>65+</v>
      </c>
      <c r="K687" s="1" t="str">
        <f>TEXT(patients[[#This Row],[arrival_date]],"[$-409]mmmm")</f>
        <v>January</v>
      </c>
      <c r="L687" s="1">
        <f>MATCH(K687, {"January";"February";"March";"April";"May";"June";"July";"August";"September";"October";"November";"December"}, 0)</f>
        <v>1</v>
      </c>
      <c r="M687" s="1" t="str" cm="1">
        <f t="array" ref="M687">IF(patients[[#This Row],[length_of_stay]]&gt;patients!$N$2:$N$2,"Over average","Less than average")</f>
        <v>Over average</v>
      </c>
    </row>
    <row r="688" spans="2:13" x14ac:dyDescent="0.25">
      <c r="B688" s="1" t="s">
        <v>1380</v>
      </c>
      <c r="C688" s="1" t="s">
        <v>1381</v>
      </c>
      <c r="D688">
        <v>28</v>
      </c>
      <c r="E688" s="2">
        <v>45887</v>
      </c>
      <c r="F688" s="2">
        <v>45891</v>
      </c>
      <c r="G688" s="1" t="s">
        <v>14</v>
      </c>
      <c r="H688">
        <v>86</v>
      </c>
      <c r="I688" s="19">
        <f>patients[[#This Row],[departure_date]]-patients[[#This Row],[arrival_date]]</f>
        <v>4</v>
      </c>
      <c r="J688" t="str">
        <f>IF(patients[[#This Row],[age]] &lt; 18,"0-17",IF(patients[[#This Row],[age]] &lt; 40,"18-39",IF(patients[[#This Row],[age]] &lt; 65,"40-64","65+")))</f>
        <v>18-39</v>
      </c>
      <c r="K688" s="1" t="str">
        <f>TEXT(patients[[#This Row],[arrival_date]],"[$-409]mmmm")</f>
        <v>August</v>
      </c>
      <c r="L688" s="1">
        <f>MATCH(K688, {"January";"February";"March";"April";"May";"June";"July";"August";"September";"October";"November";"December"}, 0)</f>
        <v>8</v>
      </c>
      <c r="M688" s="1" t="str" cm="1">
        <f t="array" ref="M688">IF(patients[[#This Row],[length_of_stay]]&gt;patients!$N$2:$N$2,"Over average","Less than average")</f>
        <v>Less than average</v>
      </c>
    </row>
    <row r="689" spans="2:13" x14ac:dyDescent="0.25">
      <c r="B689" s="1" t="s">
        <v>1382</v>
      </c>
      <c r="C689" s="1" t="s">
        <v>1383</v>
      </c>
      <c r="D689">
        <v>40</v>
      </c>
      <c r="E689" s="2">
        <v>45805</v>
      </c>
      <c r="F689" s="2">
        <v>45817</v>
      </c>
      <c r="G689" s="1" t="s">
        <v>9</v>
      </c>
      <c r="H689">
        <v>78</v>
      </c>
      <c r="I689" s="19">
        <f>patients[[#This Row],[departure_date]]-patients[[#This Row],[arrival_date]]</f>
        <v>12</v>
      </c>
      <c r="J689" t="str">
        <f>IF(patients[[#This Row],[age]] &lt; 18,"0-17",IF(patients[[#This Row],[age]] &lt; 40,"18-39",IF(patients[[#This Row],[age]] &lt; 65,"40-64","65+")))</f>
        <v>40-64</v>
      </c>
      <c r="K689" s="1" t="str">
        <f>TEXT(patients[[#This Row],[arrival_date]],"[$-409]mmmm")</f>
        <v>May</v>
      </c>
      <c r="L689" s="1">
        <f>MATCH(K689, {"January";"February";"March";"April";"May";"June";"July";"August";"September";"October";"November";"December"}, 0)</f>
        <v>5</v>
      </c>
      <c r="M689" s="1" t="str" cm="1">
        <f t="array" ref="M689">IF(patients[[#This Row],[length_of_stay]]&gt;patients!$N$2:$N$2,"Over average","Less than average")</f>
        <v>Over average</v>
      </c>
    </row>
    <row r="690" spans="2:13" x14ac:dyDescent="0.25">
      <c r="B690" s="1" t="s">
        <v>1384</v>
      </c>
      <c r="C690" s="1" t="s">
        <v>1385</v>
      </c>
      <c r="D690">
        <v>83</v>
      </c>
      <c r="E690" s="2">
        <v>45979</v>
      </c>
      <c r="F690" s="2">
        <v>45993</v>
      </c>
      <c r="G690" s="1" t="s">
        <v>14</v>
      </c>
      <c r="H690">
        <v>93</v>
      </c>
      <c r="I690" s="19">
        <f>patients[[#This Row],[departure_date]]-patients[[#This Row],[arrival_date]]</f>
        <v>14</v>
      </c>
      <c r="J690" t="str">
        <f>IF(patients[[#This Row],[age]] &lt; 18,"0-17",IF(patients[[#This Row],[age]] &lt; 40,"18-39",IF(patients[[#This Row],[age]] &lt; 65,"40-64","65+")))</f>
        <v>65+</v>
      </c>
      <c r="K690" s="1" t="str">
        <f>TEXT(patients[[#This Row],[arrival_date]],"[$-409]mmmm")</f>
        <v>November</v>
      </c>
      <c r="L690" s="1">
        <f>MATCH(K690, {"January";"February";"March";"April";"May";"June";"July";"August";"September";"October";"November";"December"}, 0)</f>
        <v>11</v>
      </c>
      <c r="M690" s="1" t="str" cm="1">
        <f t="array" ref="M690">IF(patients[[#This Row],[length_of_stay]]&gt;patients!$N$2:$N$2,"Over average","Less than average")</f>
        <v>Over average</v>
      </c>
    </row>
    <row r="691" spans="2:13" x14ac:dyDescent="0.25">
      <c r="B691" s="1" t="s">
        <v>1386</v>
      </c>
      <c r="C691" s="1" t="s">
        <v>1387</v>
      </c>
      <c r="D691">
        <v>21</v>
      </c>
      <c r="E691" s="2">
        <v>45791</v>
      </c>
      <c r="F691" s="2">
        <v>45802</v>
      </c>
      <c r="G691" s="1" t="s">
        <v>14</v>
      </c>
      <c r="H691">
        <v>69</v>
      </c>
      <c r="I691" s="19">
        <f>patients[[#This Row],[departure_date]]-patients[[#This Row],[arrival_date]]</f>
        <v>11</v>
      </c>
      <c r="J691" t="str">
        <f>IF(patients[[#This Row],[age]] &lt; 18,"0-17",IF(patients[[#This Row],[age]] &lt; 40,"18-39",IF(patients[[#This Row],[age]] &lt; 65,"40-64","65+")))</f>
        <v>18-39</v>
      </c>
      <c r="K691" s="1" t="str">
        <f>TEXT(patients[[#This Row],[arrival_date]],"[$-409]mmmm")</f>
        <v>May</v>
      </c>
      <c r="L691" s="1">
        <f>MATCH(K691, {"January";"February";"March";"April";"May";"June";"July";"August";"September";"October";"November";"December"}, 0)</f>
        <v>5</v>
      </c>
      <c r="M691" s="1" t="str" cm="1">
        <f t="array" ref="M691">IF(patients[[#This Row],[length_of_stay]]&gt;patients!$N$2:$N$2,"Over average","Less than average")</f>
        <v>Over average</v>
      </c>
    </row>
    <row r="692" spans="2:13" x14ac:dyDescent="0.25">
      <c r="B692" s="1" t="s">
        <v>1388</v>
      </c>
      <c r="C692" s="1" t="s">
        <v>1389</v>
      </c>
      <c r="D692">
        <v>72</v>
      </c>
      <c r="E692" s="2">
        <v>46009</v>
      </c>
      <c r="F692" s="2">
        <v>46015</v>
      </c>
      <c r="G692" s="1" t="s">
        <v>17</v>
      </c>
      <c r="H692">
        <v>95</v>
      </c>
      <c r="I692" s="19">
        <f>patients[[#This Row],[departure_date]]-patients[[#This Row],[arrival_date]]</f>
        <v>6</v>
      </c>
      <c r="J692" t="str">
        <f>IF(patients[[#This Row],[age]] &lt; 18,"0-17",IF(patients[[#This Row],[age]] &lt; 40,"18-39",IF(patients[[#This Row],[age]] &lt; 65,"40-64","65+")))</f>
        <v>65+</v>
      </c>
      <c r="K692" s="1" t="str">
        <f>TEXT(patients[[#This Row],[arrival_date]],"[$-409]mmmm")</f>
        <v>December</v>
      </c>
      <c r="L692" s="1">
        <f>MATCH(K692, {"January";"February";"March";"April";"May";"June";"July";"August";"September";"October";"November";"December"}, 0)</f>
        <v>12</v>
      </c>
      <c r="M692" s="1" t="str" cm="1">
        <f t="array" ref="M692">IF(patients[[#This Row],[length_of_stay]]&gt;patients!$N$2:$N$2,"Over average","Less than average")</f>
        <v>Less than average</v>
      </c>
    </row>
    <row r="693" spans="2:13" x14ac:dyDescent="0.25">
      <c r="B693" s="1" t="s">
        <v>1390</v>
      </c>
      <c r="C693" s="1" t="s">
        <v>1391</v>
      </c>
      <c r="D693">
        <v>58</v>
      </c>
      <c r="E693" s="2">
        <v>45915</v>
      </c>
      <c r="F693" s="2">
        <v>45928</v>
      </c>
      <c r="G693" s="1" t="s">
        <v>20</v>
      </c>
      <c r="H693">
        <v>63</v>
      </c>
      <c r="I693" s="19">
        <f>patients[[#This Row],[departure_date]]-patients[[#This Row],[arrival_date]]</f>
        <v>13</v>
      </c>
      <c r="J693" t="str">
        <f>IF(patients[[#This Row],[age]] &lt; 18,"0-17",IF(patients[[#This Row],[age]] &lt; 40,"18-39",IF(patients[[#This Row],[age]] &lt; 65,"40-64","65+")))</f>
        <v>40-64</v>
      </c>
      <c r="K693" s="1" t="str">
        <f>TEXT(patients[[#This Row],[arrival_date]],"[$-409]mmmm")</f>
        <v>September</v>
      </c>
      <c r="L693" s="1">
        <f>MATCH(K693, {"January";"February";"March";"April";"May";"June";"July";"August";"September";"October";"November";"December"}, 0)</f>
        <v>9</v>
      </c>
      <c r="M693" s="1" t="str" cm="1">
        <f t="array" ref="M693">IF(patients[[#This Row],[length_of_stay]]&gt;patients!$N$2:$N$2,"Over average","Less than average")</f>
        <v>Over average</v>
      </c>
    </row>
    <row r="694" spans="2:13" x14ac:dyDescent="0.25">
      <c r="B694" s="1" t="s">
        <v>1392</v>
      </c>
      <c r="C694" s="1" t="s">
        <v>1393</v>
      </c>
      <c r="D694">
        <v>64</v>
      </c>
      <c r="E694" s="2">
        <v>45811</v>
      </c>
      <c r="F694" s="2">
        <v>45820</v>
      </c>
      <c r="G694" s="1" t="s">
        <v>14</v>
      </c>
      <c r="H694">
        <v>69</v>
      </c>
      <c r="I694" s="19">
        <f>patients[[#This Row],[departure_date]]-patients[[#This Row],[arrival_date]]</f>
        <v>9</v>
      </c>
      <c r="J694" t="str">
        <f>IF(patients[[#This Row],[age]] &lt; 18,"0-17",IF(patients[[#This Row],[age]] &lt; 40,"18-39",IF(patients[[#This Row],[age]] &lt; 65,"40-64","65+")))</f>
        <v>40-64</v>
      </c>
      <c r="K694" s="1" t="str">
        <f>TEXT(patients[[#This Row],[arrival_date]],"[$-409]mmmm")</f>
        <v>June</v>
      </c>
      <c r="L694" s="1">
        <f>MATCH(K694, {"January";"February";"March";"April";"May";"June";"July";"August";"September";"October";"November";"December"}, 0)</f>
        <v>6</v>
      </c>
      <c r="M694" s="1" t="str" cm="1">
        <f t="array" ref="M694">IF(patients[[#This Row],[length_of_stay]]&gt;patients!$N$2:$N$2,"Over average","Less than average")</f>
        <v>Over average</v>
      </c>
    </row>
    <row r="695" spans="2:13" x14ac:dyDescent="0.25">
      <c r="B695" s="1" t="s">
        <v>1394</v>
      </c>
      <c r="C695" s="1" t="s">
        <v>1395</v>
      </c>
      <c r="D695">
        <v>52</v>
      </c>
      <c r="E695" s="2">
        <v>45972</v>
      </c>
      <c r="F695" s="2">
        <v>45978</v>
      </c>
      <c r="G695" s="1" t="s">
        <v>14</v>
      </c>
      <c r="H695">
        <v>80</v>
      </c>
      <c r="I695" s="19">
        <f>patients[[#This Row],[departure_date]]-patients[[#This Row],[arrival_date]]</f>
        <v>6</v>
      </c>
      <c r="J695" t="str">
        <f>IF(patients[[#This Row],[age]] &lt; 18,"0-17",IF(patients[[#This Row],[age]] &lt; 40,"18-39",IF(patients[[#This Row],[age]] &lt; 65,"40-64","65+")))</f>
        <v>40-64</v>
      </c>
      <c r="K695" s="1" t="str">
        <f>TEXT(patients[[#This Row],[arrival_date]],"[$-409]mmmm")</f>
        <v>November</v>
      </c>
      <c r="L695" s="1">
        <f>MATCH(K695, {"January";"February";"March";"April";"May";"June";"July";"August";"September";"October";"November";"December"}, 0)</f>
        <v>11</v>
      </c>
      <c r="M695" s="1" t="str" cm="1">
        <f t="array" ref="M695">IF(patients[[#This Row],[length_of_stay]]&gt;patients!$N$2:$N$2,"Over average","Less than average")</f>
        <v>Less than average</v>
      </c>
    </row>
    <row r="696" spans="2:13" x14ac:dyDescent="0.25">
      <c r="B696" s="1" t="s">
        <v>1396</v>
      </c>
      <c r="C696" s="1" t="s">
        <v>1397</v>
      </c>
      <c r="D696">
        <v>21</v>
      </c>
      <c r="E696" s="2">
        <v>45755</v>
      </c>
      <c r="F696" s="2">
        <v>45769</v>
      </c>
      <c r="G696" s="1" t="s">
        <v>20</v>
      </c>
      <c r="H696">
        <v>84</v>
      </c>
      <c r="I696" s="19">
        <f>patients[[#This Row],[departure_date]]-patients[[#This Row],[arrival_date]]</f>
        <v>14</v>
      </c>
      <c r="J696" t="str">
        <f>IF(patients[[#This Row],[age]] &lt; 18,"0-17",IF(patients[[#This Row],[age]] &lt; 40,"18-39",IF(patients[[#This Row],[age]] &lt; 65,"40-64","65+")))</f>
        <v>18-39</v>
      </c>
      <c r="K696" s="1" t="str">
        <f>TEXT(patients[[#This Row],[arrival_date]],"[$-409]mmmm")</f>
        <v>April</v>
      </c>
      <c r="L696" s="1">
        <f>MATCH(K696, {"January";"February";"March";"April";"May";"June";"July";"August";"September";"October";"November";"December"}, 0)</f>
        <v>4</v>
      </c>
      <c r="M696" s="1" t="str" cm="1">
        <f t="array" ref="M696">IF(patients[[#This Row],[length_of_stay]]&gt;patients!$N$2:$N$2,"Over average","Less than average")</f>
        <v>Over average</v>
      </c>
    </row>
    <row r="697" spans="2:13" x14ac:dyDescent="0.25">
      <c r="B697" s="1" t="s">
        <v>1398</v>
      </c>
      <c r="C697" s="1" t="s">
        <v>1399</v>
      </c>
      <c r="D697">
        <v>27</v>
      </c>
      <c r="E697" s="2">
        <v>45958</v>
      </c>
      <c r="F697" s="2">
        <v>45962</v>
      </c>
      <c r="G697" s="1" t="s">
        <v>17</v>
      </c>
      <c r="H697">
        <v>66</v>
      </c>
      <c r="I697" s="19">
        <f>patients[[#This Row],[departure_date]]-patients[[#This Row],[arrival_date]]</f>
        <v>4</v>
      </c>
      <c r="J697" t="str">
        <f>IF(patients[[#This Row],[age]] &lt; 18,"0-17",IF(patients[[#This Row],[age]] &lt; 40,"18-39",IF(patients[[#This Row],[age]] &lt; 65,"40-64","65+")))</f>
        <v>18-39</v>
      </c>
      <c r="K697" s="1" t="str">
        <f>TEXT(patients[[#This Row],[arrival_date]],"[$-409]mmmm")</f>
        <v>October</v>
      </c>
      <c r="L697" s="1">
        <f>MATCH(K697, {"January";"February";"March";"April";"May";"June";"July";"August";"September";"October";"November";"December"}, 0)</f>
        <v>10</v>
      </c>
      <c r="M697" s="1" t="str" cm="1">
        <f t="array" ref="M697">IF(patients[[#This Row],[length_of_stay]]&gt;patients!$N$2:$N$2,"Over average","Less than average")</f>
        <v>Less than average</v>
      </c>
    </row>
    <row r="698" spans="2:13" x14ac:dyDescent="0.25">
      <c r="B698" s="1" t="s">
        <v>1400</v>
      </c>
      <c r="C698" s="1" t="s">
        <v>1401</v>
      </c>
      <c r="D698">
        <v>48</v>
      </c>
      <c r="E698" s="2">
        <v>45821</v>
      </c>
      <c r="F698" s="2">
        <v>45824</v>
      </c>
      <c r="G698" s="1" t="s">
        <v>17</v>
      </c>
      <c r="H698">
        <v>60</v>
      </c>
      <c r="I698" s="19">
        <f>patients[[#This Row],[departure_date]]-patients[[#This Row],[arrival_date]]</f>
        <v>3</v>
      </c>
      <c r="J698" t="str">
        <f>IF(patients[[#This Row],[age]] &lt; 18,"0-17",IF(patients[[#This Row],[age]] &lt; 40,"18-39",IF(patients[[#This Row],[age]] &lt; 65,"40-64","65+")))</f>
        <v>40-64</v>
      </c>
      <c r="K698" s="1" t="str">
        <f>TEXT(patients[[#This Row],[arrival_date]],"[$-409]mmmm")</f>
        <v>June</v>
      </c>
      <c r="L698" s="1">
        <f>MATCH(K698, {"January";"February";"March";"April";"May";"June";"July";"August";"September";"October";"November";"December"}, 0)</f>
        <v>6</v>
      </c>
      <c r="M698" s="1" t="str" cm="1">
        <f t="array" ref="M698">IF(patients[[#This Row],[length_of_stay]]&gt;patients!$N$2:$N$2,"Over average","Less than average")</f>
        <v>Less than average</v>
      </c>
    </row>
    <row r="699" spans="2:13" x14ac:dyDescent="0.25">
      <c r="B699" s="1" t="s">
        <v>1402</v>
      </c>
      <c r="C699" s="1" t="s">
        <v>1403</v>
      </c>
      <c r="D699">
        <v>9</v>
      </c>
      <c r="E699" s="2">
        <v>45730</v>
      </c>
      <c r="F699" s="2">
        <v>45743</v>
      </c>
      <c r="G699" s="1" t="s">
        <v>20</v>
      </c>
      <c r="H699">
        <v>91</v>
      </c>
      <c r="I699" s="19">
        <f>patients[[#This Row],[departure_date]]-patients[[#This Row],[arrival_date]]</f>
        <v>13</v>
      </c>
      <c r="J699" t="str">
        <f>IF(patients[[#This Row],[age]] &lt; 18,"0-17",IF(patients[[#This Row],[age]] &lt; 40,"18-39",IF(patients[[#This Row],[age]] &lt; 65,"40-64","65+")))</f>
        <v>0-17</v>
      </c>
      <c r="K699" s="1" t="str">
        <f>TEXT(patients[[#This Row],[arrival_date]],"[$-409]mmmm")</f>
        <v>March</v>
      </c>
      <c r="L699" s="1">
        <f>MATCH(K699, {"January";"February";"March";"April";"May";"June";"July";"August";"September";"October";"November";"December"}, 0)</f>
        <v>3</v>
      </c>
      <c r="M699" s="1" t="str" cm="1">
        <f t="array" ref="M699">IF(patients[[#This Row],[length_of_stay]]&gt;patients!$N$2:$N$2,"Over average","Less than average")</f>
        <v>Over average</v>
      </c>
    </row>
    <row r="700" spans="2:13" x14ac:dyDescent="0.25">
      <c r="B700" s="1" t="s">
        <v>1404</v>
      </c>
      <c r="C700" s="1" t="s">
        <v>1405</v>
      </c>
      <c r="D700">
        <v>31</v>
      </c>
      <c r="E700" s="2">
        <v>45833</v>
      </c>
      <c r="F700" s="2">
        <v>45839</v>
      </c>
      <c r="G700" s="1" t="s">
        <v>9</v>
      </c>
      <c r="H700">
        <v>76</v>
      </c>
      <c r="I700" s="19">
        <f>patients[[#This Row],[departure_date]]-patients[[#This Row],[arrival_date]]</f>
        <v>6</v>
      </c>
      <c r="J700" t="str">
        <f>IF(patients[[#This Row],[age]] &lt; 18,"0-17",IF(patients[[#This Row],[age]] &lt; 40,"18-39",IF(patients[[#This Row],[age]] &lt; 65,"40-64","65+")))</f>
        <v>18-39</v>
      </c>
      <c r="K700" s="1" t="str">
        <f>TEXT(patients[[#This Row],[arrival_date]],"[$-409]mmmm")</f>
        <v>June</v>
      </c>
      <c r="L700" s="1">
        <f>MATCH(K700, {"January";"February";"March";"April";"May";"June";"July";"August";"September";"October";"November";"December"}, 0)</f>
        <v>6</v>
      </c>
      <c r="M700" s="1" t="str" cm="1">
        <f t="array" ref="M700">IF(patients[[#This Row],[length_of_stay]]&gt;patients!$N$2:$N$2,"Over average","Less than average")</f>
        <v>Less than average</v>
      </c>
    </row>
    <row r="701" spans="2:13" x14ac:dyDescent="0.25">
      <c r="B701" s="1" t="s">
        <v>1406</v>
      </c>
      <c r="C701" s="1" t="s">
        <v>1407</v>
      </c>
      <c r="D701">
        <v>73</v>
      </c>
      <c r="E701" s="2">
        <v>45940</v>
      </c>
      <c r="F701" s="2">
        <v>45946</v>
      </c>
      <c r="G701" s="1" t="s">
        <v>9</v>
      </c>
      <c r="H701">
        <v>94</v>
      </c>
      <c r="I701" s="19">
        <f>patients[[#This Row],[departure_date]]-patients[[#This Row],[arrival_date]]</f>
        <v>6</v>
      </c>
      <c r="J701" t="str">
        <f>IF(patients[[#This Row],[age]] &lt; 18,"0-17",IF(patients[[#This Row],[age]] &lt; 40,"18-39",IF(patients[[#This Row],[age]] &lt; 65,"40-64","65+")))</f>
        <v>65+</v>
      </c>
      <c r="K701" s="1" t="str">
        <f>TEXT(patients[[#This Row],[arrival_date]],"[$-409]mmmm")</f>
        <v>October</v>
      </c>
      <c r="L701" s="1">
        <f>MATCH(K701, {"January";"February";"March";"April";"May";"June";"July";"August";"September";"October";"November";"December"}, 0)</f>
        <v>10</v>
      </c>
      <c r="M701" s="1" t="str" cm="1">
        <f t="array" ref="M701">IF(patients[[#This Row],[length_of_stay]]&gt;patients!$N$2:$N$2,"Over average","Less than average")</f>
        <v>Less than average</v>
      </c>
    </row>
    <row r="702" spans="2:13" x14ac:dyDescent="0.25">
      <c r="B702" s="1" t="s">
        <v>1408</v>
      </c>
      <c r="C702" s="1" t="s">
        <v>1409</v>
      </c>
      <c r="D702">
        <v>84</v>
      </c>
      <c r="E702" s="2">
        <v>45928</v>
      </c>
      <c r="F702" s="2">
        <v>45932</v>
      </c>
      <c r="G702" s="1" t="s">
        <v>14</v>
      </c>
      <c r="H702">
        <v>88</v>
      </c>
      <c r="I702" s="19">
        <f>patients[[#This Row],[departure_date]]-patients[[#This Row],[arrival_date]]</f>
        <v>4</v>
      </c>
      <c r="J702" t="str">
        <f>IF(patients[[#This Row],[age]] &lt; 18,"0-17",IF(patients[[#This Row],[age]] &lt; 40,"18-39",IF(patients[[#This Row],[age]] &lt; 65,"40-64","65+")))</f>
        <v>65+</v>
      </c>
      <c r="K702" s="1" t="str">
        <f>TEXT(patients[[#This Row],[arrival_date]],"[$-409]mmmm")</f>
        <v>September</v>
      </c>
      <c r="L702" s="1">
        <f>MATCH(K702, {"January";"February";"March";"April";"May";"June";"July";"August";"September";"October";"November";"December"}, 0)</f>
        <v>9</v>
      </c>
      <c r="M702" s="1" t="str" cm="1">
        <f t="array" ref="M702">IF(patients[[#This Row],[length_of_stay]]&gt;patients!$N$2:$N$2,"Over average","Less than average")</f>
        <v>Less than average</v>
      </c>
    </row>
    <row r="703" spans="2:13" x14ac:dyDescent="0.25">
      <c r="B703" s="1" t="s">
        <v>1410</v>
      </c>
      <c r="C703" s="1" t="s">
        <v>1411</v>
      </c>
      <c r="D703">
        <v>72</v>
      </c>
      <c r="E703" s="2">
        <v>45905</v>
      </c>
      <c r="F703" s="2">
        <v>45917</v>
      </c>
      <c r="G703" s="1" t="s">
        <v>14</v>
      </c>
      <c r="H703">
        <v>76</v>
      </c>
      <c r="I703" s="19">
        <f>patients[[#This Row],[departure_date]]-patients[[#This Row],[arrival_date]]</f>
        <v>12</v>
      </c>
      <c r="J703" t="str">
        <f>IF(patients[[#This Row],[age]] &lt; 18,"0-17",IF(patients[[#This Row],[age]] &lt; 40,"18-39",IF(patients[[#This Row],[age]] &lt; 65,"40-64","65+")))</f>
        <v>65+</v>
      </c>
      <c r="K703" s="1" t="str">
        <f>TEXT(patients[[#This Row],[arrival_date]],"[$-409]mmmm")</f>
        <v>September</v>
      </c>
      <c r="L703" s="1">
        <f>MATCH(K703, {"January";"February";"March";"April";"May";"June";"July";"August";"September";"October";"November";"December"}, 0)</f>
        <v>9</v>
      </c>
      <c r="M703" s="1" t="str" cm="1">
        <f t="array" ref="M703">IF(patients[[#This Row],[length_of_stay]]&gt;patients!$N$2:$N$2,"Over average","Less than average")</f>
        <v>Over average</v>
      </c>
    </row>
    <row r="704" spans="2:13" x14ac:dyDescent="0.25">
      <c r="B704" s="1" t="s">
        <v>1412</v>
      </c>
      <c r="C704" s="1" t="s">
        <v>1413</v>
      </c>
      <c r="D704">
        <v>42</v>
      </c>
      <c r="E704" s="2">
        <v>45698</v>
      </c>
      <c r="F704" s="2">
        <v>45708</v>
      </c>
      <c r="G704" s="1" t="s">
        <v>17</v>
      </c>
      <c r="H704">
        <v>79</v>
      </c>
      <c r="I704" s="19">
        <f>patients[[#This Row],[departure_date]]-patients[[#This Row],[arrival_date]]</f>
        <v>10</v>
      </c>
      <c r="J704" t="str">
        <f>IF(patients[[#This Row],[age]] &lt; 18,"0-17",IF(patients[[#This Row],[age]] &lt; 40,"18-39",IF(patients[[#This Row],[age]] &lt; 65,"40-64","65+")))</f>
        <v>40-64</v>
      </c>
      <c r="K704" s="1" t="str">
        <f>TEXT(patients[[#This Row],[arrival_date]],"[$-409]mmmm")</f>
        <v>February</v>
      </c>
      <c r="L704" s="1">
        <f>MATCH(K704, {"January";"February";"March";"April";"May";"June";"July";"August";"September";"October";"November";"December"}, 0)</f>
        <v>2</v>
      </c>
      <c r="M704" s="1" t="str" cm="1">
        <f t="array" ref="M704">IF(patients[[#This Row],[length_of_stay]]&gt;patients!$N$2:$N$2,"Over average","Less than average")</f>
        <v>Over average</v>
      </c>
    </row>
    <row r="705" spans="2:13" x14ac:dyDescent="0.25">
      <c r="B705" s="1" t="s">
        <v>1414</v>
      </c>
      <c r="C705" s="1" t="s">
        <v>1415</v>
      </c>
      <c r="D705">
        <v>39</v>
      </c>
      <c r="E705" s="2">
        <v>45902</v>
      </c>
      <c r="F705" s="2">
        <v>45909</v>
      </c>
      <c r="G705" s="1" t="s">
        <v>14</v>
      </c>
      <c r="H705">
        <v>91</v>
      </c>
      <c r="I705" s="19">
        <f>patients[[#This Row],[departure_date]]-patients[[#This Row],[arrival_date]]</f>
        <v>7</v>
      </c>
      <c r="J705" t="str">
        <f>IF(patients[[#This Row],[age]] &lt; 18,"0-17",IF(patients[[#This Row],[age]] &lt; 40,"18-39",IF(patients[[#This Row],[age]] &lt; 65,"40-64","65+")))</f>
        <v>18-39</v>
      </c>
      <c r="K705" s="1" t="str">
        <f>TEXT(patients[[#This Row],[arrival_date]],"[$-409]mmmm")</f>
        <v>September</v>
      </c>
      <c r="L705" s="1">
        <f>MATCH(K705, {"January";"February";"March";"April";"May";"June";"July";"August";"September";"October";"November";"December"}, 0)</f>
        <v>9</v>
      </c>
      <c r="M705" s="1" t="str" cm="1">
        <f t="array" ref="M705">IF(patients[[#This Row],[length_of_stay]]&gt;patients!$N$2:$N$2,"Over average","Less than average")</f>
        <v>Less than average</v>
      </c>
    </row>
    <row r="706" spans="2:13" x14ac:dyDescent="0.25">
      <c r="B706" s="1" t="s">
        <v>1416</v>
      </c>
      <c r="C706" s="1" t="s">
        <v>1417</v>
      </c>
      <c r="D706">
        <v>51</v>
      </c>
      <c r="E706" s="2">
        <v>45720</v>
      </c>
      <c r="F706" s="2">
        <v>45721</v>
      </c>
      <c r="G706" s="1" t="s">
        <v>14</v>
      </c>
      <c r="H706">
        <v>64</v>
      </c>
      <c r="I706" s="19">
        <f>patients[[#This Row],[departure_date]]-patients[[#This Row],[arrival_date]]</f>
        <v>1</v>
      </c>
      <c r="J706" t="str">
        <f>IF(patients[[#This Row],[age]] &lt; 18,"0-17",IF(patients[[#This Row],[age]] &lt; 40,"18-39",IF(patients[[#This Row],[age]] &lt; 65,"40-64","65+")))</f>
        <v>40-64</v>
      </c>
      <c r="K706" s="1" t="str">
        <f>TEXT(patients[[#This Row],[arrival_date]],"[$-409]mmmm")</f>
        <v>March</v>
      </c>
      <c r="L706" s="1">
        <f>MATCH(K706, {"January";"February";"March";"April";"May";"June";"July";"August";"September";"October";"November";"December"}, 0)</f>
        <v>3</v>
      </c>
      <c r="M706" s="1" t="str" cm="1">
        <f t="array" ref="M706">IF(patients[[#This Row],[length_of_stay]]&gt;patients!$N$2:$N$2,"Over average","Less than average")</f>
        <v>Less than average</v>
      </c>
    </row>
    <row r="707" spans="2:13" x14ac:dyDescent="0.25">
      <c r="B707" s="1" t="s">
        <v>1418</v>
      </c>
      <c r="C707" s="1" t="s">
        <v>1419</v>
      </c>
      <c r="D707">
        <v>42</v>
      </c>
      <c r="E707" s="2">
        <v>45947</v>
      </c>
      <c r="F707" s="2">
        <v>45955</v>
      </c>
      <c r="G707" s="1" t="s">
        <v>20</v>
      </c>
      <c r="H707">
        <v>70</v>
      </c>
      <c r="I707" s="19">
        <f>patients[[#This Row],[departure_date]]-patients[[#This Row],[arrival_date]]</f>
        <v>8</v>
      </c>
      <c r="J707" t="str">
        <f>IF(patients[[#This Row],[age]] &lt; 18,"0-17",IF(patients[[#This Row],[age]] &lt; 40,"18-39",IF(patients[[#This Row],[age]] &lt; 65,"40-64","65+")))</f>
        <v>40-64</v>
      </c>
      <c r="K707" s="1" t="str">
        <f>TEXT(patients[[#This Row],[arrival_date]],"[$-409]mmmm")</f>
        <v>October</v>
      </c>
      <c r="L707" s="1">
        <f>MATCH(K707, {"January";"February";"March";"April";"May";"June";"July";"August";"September";"October";"November";"December"}, 0)</f>
        <v>10</v>
      </c>
      <c r="M707" s="1" t="str" cm="1">
        <f t="array" ref="M707">IF(patients[[#This Row],[length_of_stay]]&gt;patients!$N$2:$N$2,"Over average","Less than average")</f>
        <v>Over average</v>
      </c>
    </row>
    <row r="708" spans="2:13" x14ac:dyDescent="0.25">
      <c r="B708" s="1" t="s">
        <v>1420</v>
      </c>
      <c r="C708" s="1" t="s">
        <v>1421</v>
      </c>
      <c r="D708">
        <v>60</v>
      </c>
      <c r="E708" s="2">
        <v>45975</v>
      </c>
      <c r="F708" s="2">
        <v>45985</v>
      </c>
      <c r="G708" s="1" t="s">
        <v>9</v>
      </c>
      <c r="H708">
        <v>92</v>
      </c>
      <c r="I708" s="19">
        <f>patients[[#This Row],[departure_date]]-patients[[#This Row],[arrival_date]]</f>
        <v>10</v>
      </c>
      <c r="J708" t="str">
        <f>IF(patients[[#This Row],[age]] &lt; 18,"0-17",IF(patients[[#This Row],[age]] &lt; 40,"18-39",IF(patients[[#This Row],[age]] &lt; 65,"40-64","65+")))</f>
        <v>40-64</v>
      </c>
      <c r="K708" s="1" t="str">
        <f>TEXT(patients[[#This Row],[arrival_date]],"[$-409]mmmm")</f>
        <v>November</v>
      </c>
      <c r="L708" s="1">
        <f>MATCH(K708, {"January";"February";"March";"April";"May";"June";"July";"August";"September";"October";"November";"December"}, 0)</f>
        <v>11</v>
      </c>
      <c r="M708" s="1" t="str" cm="1">
        <f t="array" ref="M708">IF(patients[[#This Row],[length_of_stay]]&gt;patients!$N$2:$N$2,"Over average","Less than average")</f>
        <v>Over average</v>
      </c>
    </row>
    <row r="709" spans="2:13" x14ac:dyDescent="0.25">
      <c r="B709" s="1" t="s">
        <v>1422</v>
      </c>
      <c r="C709" s="1" t="s">
        <v>1423</v>
      </c>
      <c r="D709">
        <v>74</v>
      </c>
      <c r="E709" s="2">
        <v>45995</v>
      </c>
      <c r="F709" s="2">
        <v>46009</v>
      </c>
      <c r="G709" s="1" t="s">
        <v>20</v>
      </c>
      <c r="H709">
        <v>69</v>
      </c>
      <c r="I709" s="19">
        <f>patients[[#This Row],[departure_date]]-patients[[#This Row],[arrival_date]]</f>
        <v>14</v>
      </c>
      <c r="J709" t="str">
        <f>IF(patients[[#This Row],[age]] &lt; 18,"0-17",IF(patients[[#This Row],[age]] &lt; 40,"18-39",IF(patients[[#This Row],[age]] &lt; 65,"40-64","65+")))</f>
        <v>65+</v>
      </c>
      <c r="K709" s="1" t="str">
        <f>TEXT(patients[[#This Row],[arrival_date]],"[$-409]mmmm")</f>
        <v>December</v>
      </c>
      <c r="L709" s="1">
        <f>MATCH(K709, {"January";"February";"March";"April";"May";"June";"July";"August";"September";"October";"November";"December"}, 0)</f>
        <v>12</v>
      </c>
      <c r="M709" s="1" t="str" cm="1">
        <f t="array" ref="M709">IF(patients[[#This Row],[length_of_stay]]&gt;patients!$N$2:$N$2,"Over average","Less than average")</f>
        <v>Over average</v>
      </c>
    </row>
    <row r="710" spans="2:13" x14ac:dyDescent="0.25">
      <c r="B710" s="1" t="s">
        <v>1424</v>
      </c>
      <c r="C710" s="1" t="s">
        <v>1425</v>
      </c>
      <c r="D710">
        <v>81</v>
      </c>
      <c r="E710" s="2">
        <v>45784</v>
      </c>
      <c r="F710" s="2">
        <v>45787</v>
      </c>
      <c r="G710" s="1" t="s">
        <v>9</v>
      </c>
      <c r="H710">
        <v>95</v>
      </c>
      <c r="I710" s="19">
        <f>patients[[#This Row],[departure_date]]-patients[[#This Row],[arrival_date]]</f>
        <v>3</v>
      </c>
      <c r="J710" t="str">
        <f>IF(patients[[#This Row],[age]] &lt; 18,"0-17",IF(patients[[#This Row],[age]] &lt; 40,"18-39",IF(patients[[#This Row],[age]] &lt; 65,"40-64","65+")))</f>
        <v>65+</v>
      </c>
      <c r="K710" s="1" t="str">
        <f>TEXT(patients[[#This Row],[arrival_date]],"[$-409]mmmm")</f>
        <v>May</v>
      </c>
      <c r="L710" s="1">
        <f>MATCH(K710, {"January";"February";"March";"April";"May";"June";"July";"August";"September";"October";"November";"December"}, 0)</f>
        <v>5</v>
      </c>
      <c r="M710" s="1" t="str" cm="1">
        <f t="array" ref="M710">IF(patients[[#This Row],[length_of_stay]]&gt;patients!$N$2:$N$2,"Over average","Less than average")</f>
        <v>Less than average</v>
      </c>
    </row>
    <row r="711" spans="2:13" x14ac:dyDescent="0.25">
      <c r="B711" s="1" t="s">
        <v>1426</v>
      </c>
      <c r="C711" s="1" t="s">
        <v>1427</v>
      </c>
      <c r="D711">
        <v>58</v>
      </c>
      <c r="E711" s="2">
        <v>45734</v>
      </c>
      <c r="F711" s="2">
        <v>45742</v>
      </c>
      <c r="G711" s="1" t="s">
        <v>14</v>
      </c>
      <c r="H711">
        <v>62</v>
      </c>
      <c r="I711" s="19">
        <f>patients[[#This Row],[departure_date]]-patients[[#This Row],[arrival_date]]</f>
        <v>8</v>
      </c>
      <c r="J711" t="str">
        <f>IF(patients[[#This Row],[age]] &lt; 18,"0-17",IF(patients[[#This Row],[age]] &lt; 40,"18-39",IF(patients[[#This Row],[age]] &lt; 65,"40-64","65+")))</f>
        <v>40-64</v>
      </c>
      <c r="K711" s="1" t="str">
        <f>TEXT(patients[[#This Row],[arrival_date]],"[$-409]mmmm")</f>
        <v>March</v>
      </c>
      <c r="L711" s="1">
        <f>MATCH(K711, {"January";"February";"March";"April";"May";"June";"July";"August";"September";"October";"November";"December"}, 0)</f>
        <v>3</v>
      </c>
      <c r="M711" s="1" t="str" cm="1">
        <f t="array" ref="M711">IF(patients[[#This Row],[length_of_stay]]&gt;patients!$N$2:$N$2,"Over average","Less than average")</f>
        <v>Over average</v>
      </c>
    </row>
    <row r="712" spans="2:13" x14ac:dyDescent="0.25">
      <c r="B712" s="1" t="s">
        <v>1428</v>
      </c>
      <c r="C712" s="1" t="s">
        <v>1429</v>
      </c>
      <c r="D712">
        <v>73</v>
      </c>
      <c r="E712" s="2">
        <v>45978</v>
      </c>
      <c r="F712" s="2">
        <v>45985</v>
      </c>
      <c r="G712" s="1" t="s">
        <v>9</v>
      </c>
      <c r="H712">
        <v>86</v>
      </c>
      <c r="I712" s="19">
        <f>patients[[#This Row],[departure_date]]-patients[[#This Row],[arrival_date]]</f>
        <v>7</v>
      </c>
      <c r="J712" t="str">
        <f>IF(patients[[#This Row],[age]] &lt; 18,"0-17",IF(patients[[#This Row],[age]] &lt; 40,"18-39",IF(patients[[#This Row],[age]] &lt; 65,"40-64","65+")))</f>
        <v>65+</v>
      </c>
      <c r="K712" s="1" t="str">
        <f>TEXT(patients[[#This Row],[arrival_date]],"[$-409]mmmm")</f>
        <v>November</v>
      </c>
      <c r="L712" s="1">
        <f>MATCH(K712, {"January";"February";"March";"April";"May";"June";"July";"August";"September";"October";"November";"December"}, 0)</f>
        <v>11</v>
      </c>
      <c r="M712" s="1" t="str" cm="1">
        <f t="array" ref="M712">IF(patients[[#This Row],[length_of_stay]]&gt;patients!$N$2:$N$2,"Over average","Less than average")</f>
        <v>Less than average</v>
      </c>
    </row>
    <row r="713" spans="2:13" x14ac:dyDescent="0.25">
      <c r="B713" s="1" t="s">
        <v>1430</v>
      </c>
      <c r="C713" s="1" t="s">
        <v>1431</v>
      </c>
      <c r="D713">
        <v>7</v>
      </c>
      <c r="E713" s="2">
        <v>45866</v>
      </c>
      <c r="F713" s="2">
        <v>45875</v>
      </c>
      <c r="G713" s="1" t="s">
        <v>14</v>
      </c>
      <c r="H713">
        <v>65</v>
      </c>
      <c r="I713" s="19">
        <f>patients[[#This Row],[departure_date]]-patients[[#This Row],[arrival_date]]</f>
        <v>9</v>
      </c>
      <c r="J713" t="str">
        <f>IF(patients[[#This Row],[age]] &lt; 18,"0-17",IF(patients[[#This Row],[age]] &lt; 40,"18-39",IF(patients[[#This Row],[age]] &lt; 65,"40-64","65+")))</f>
        <v>0-17</v>
      </c>
      <c r="K713" s="1" t="str">
        <f>TEXT(patients[[#This Row],[arrival_date]],"[$-409]mmmm")</f>
        <v>July</v>
      </c>
      <c r="L713" s="1">
        <f>MATCH(K713, {"January";"February";"March";"April";"May";"June";"July";"August";"September";"October";"November";"December"}, 0)</f>
        <v>7</v>
      </c>
      <c r="M713" s="1" t="str" cm="1">
        <f t="array" ref="M713">IF(patients[[#This Row],[length_of_stay]]&gt;patients!$N$2:$N$2,"Over average","Less than average")</f>
        <v>Over average</v>
      </c>
    </row>
    <row r="714" spans="2:13" x14ac:dyDescent="0.25">
      <c r="B714" s="1" t="s">
        <v>1432</v>
      </c>
      <c r="C714" s="1" t="s">
        <v>1433</v>
      </c>
      <c r="D714">
        <v>88</v>
      </c>
      <c r="E714" s="2">
        <v>45941</v>
      </c>
      <c r="F714" s="2">
        <v>45942</v>
      </c>
      <c r="G714" s="1" t="s">
        <v>14</v>
      </c>
      <c r="H714">
        <v>96</v>
      </c>
      <c r="I714" s="19">
        <f>patients[[#This Row],[departure_date]]-patients[[#This Row],[arrival_date]]</f>
        <v>1</v>
      </c>
      <c r="J714" t="str">
        <f>IF(patients[[#This Row],[age]] &lt; 18,"0-17",IF(patients[[#This Row],[age]] &lt; 40,"18-39",IF(patients[[#This Row],[age]] &lt; 65,"40-64","65+")))</f>
        <v>65+</v>
      </c>
      <c r="K714" s="1" t="str">
        <f>TEXT(patients[[#This Row],[arrival_date]],"[$-409]mmmm")</f>
        <v>October</v>
      </c>
      <c r="L714" s="1">
        <f>MATCH(K714, {"January";"February";"March";"April";"May";"June";"July";"August";"September";"October";"November";"December"}, 0)</f>
        <v>10</v>
      </c>
      <c r="M714" s="1" t="str" cm="1">
        <f t="array" ref="M714">IF(patients[[#This Row],[length_of_stay]]&gt;patients!$N$2:$N$2,"Over average","Less than average")</f>
        <v>Less than average</v>
      </c>
    </row>
    <row r="715" spans="2:13" x14ac:dyDescent="0.25">
      <c r="B715" s="1" t="s">
        <v>1434</v>
      </c>
      <c r="C715" s="1" t="s">
        <v>1435</v>
      </c>
      <c r="D715">
        <v>8</v>
      </c>
      <c r="E715" s="2">
        <v>45713</v>
      </c>
      <c r="F715" s="2">
        <v>45724</v>
      </c>
      <c r="G715" s="1" t="s">
        <v>9</v>
      </c>
      <c r="H715">
        <v>80</v>
      </c>
      <c r="I715" s="19">
        <f>patients[[#This Row],[departure_date]]-patients[[#This Row],[arrival_date]]</f>
        <v>11</v>
      </c>
      <c r="J715" t="str">
        <f>IF(patients[[#This Row],[age]] &lt; 18,"0-17",IF(patients[[#This Row],[age]] &lt; 40,"18-39",IF(patients[[#This Row],[age]] &lt; 65,"40-64","65+")))</f>
        <v>0-17</v>
      </c>
      <c r="K715" s="1" t="str">
        <f>TEXT(patients[[#This Row],[arrival_date]],"[$-409]mmmm")</f>
        <v>February</v>
      </c>
      <c r="L715" s="1">
        <f>MATCH(K715, {"January";"February";"March";"April";"May";"June";"July";"August";"September";"October";"November";"December"}, 0)</f>
        <v>2</v>
      </c>
      <c r="M715" s="1" t="str" cm="1">
        <f t="array" ref="M715">IF(patients[[#This Row],[length_of_stay]]&gt;patients!$N$2:$N$2,"Over average","Less than average")</f>
        <v>Over average</v>
      </c>
    </row>
    <row r="716" spans="2:13" x14ac:dyDescent="0.25">
      <c r="B716" s="1" t="s">
        <v>1436</v>
      </c>
      <c r="C716" s="1" t="s">
        <v>1437</v>
      </c>
      <c r="D716">
        <v>1</v>
      </c>
      <c r="E716" s="2">
        <v>45715</v>
      </c>
      <c r="F716" s="2">
        <v>45726</v>
      </c>
      <c r="G716" s="1" t="s">
        <v>17</v>
      </c>
      <c r="H716">
        <v>97</v>
      </c>
      <c r="I716" s="19">
        <f>patients[[#This Row],[departure_date]]-patients[[#This Row],[arrival_date]]</f>
        <v>11</v>
      </c>
      <c r="J716" t="str">
        <f>IF(patients[[#This Row],[age]] &lt; 18,"0-17",IF(patients[[#This Row],[age]] &lt; 40,"18-39",IF(patients[[#This Row],[age]] &lt; 65,"40-64","65+")))</f>
        <v>0-17</v>
      </c>
      <c r="K716" s="1" t="str">
        <f>TEXT(patients[[#This Row],[arrival_date]],"[$-409]mmmm")</f>
        <v>February</v>
      </c>
      <c r="L716" s="1">
        <f>MATCH(K716, {"January";"February";"March";"April";"May";"June";"July";"August";"September";"October";"November";"December"}, 0)</f>
        <v>2</v>
      </c>
      <c r="M716" s="1" t="str" cm="1">
        <f t="array" ref="M716">IF(patients[[#This Row],[length_of_stay]]&gt;patients!$N$2:$N$2,"Over average","Less than average")</f>
        <v>Over average</v>
      </c>
    </row>
    <row r="717" spans="2:13" x14ac:dyDescent="0.25">
      <c r="B717" s="1" t="s">
        <v>1438</v>
      </c>
      <c r="C717" s="1" t="s">
        <v>1439</v>
      </c>
      <c r="D717">
        <v>39</v>
      </c>
      <c r="E717" s="2">
        <v>45771</v>
      </c>
      <c r="F717" s="2">
        <v>45783</v>
      </c>
      <c r="G717" s="1" t="s">
        <v>20</v>
      </c>
      <c r="H717">
        <v>96</v>
      </c>
      <c r="I717" s="19">
        <f>patients[[#This Row],[departure_date]]-patients[[#This Row],[arrival_date]]</f>
        <v>12</v>
      </c>
      <c r="J717" t="str">
        <f>IF(patients[[#This Row],[age]] &lt; 18,"0-17",IF(patients[[#This Row],[age]] &lt; 40,"18-39",IF(patients[[#This Row],[age]] &lt; 65,"40-64","65+")))</f>
        <v>18-39</v>
      </c>
      <c r="K717" s="1" t="str">
        <f>TEXT(patients[[#This Row],[arrival_date]],"[$-409]mmmm")</f>
        <v>April</v>
      </c>
      <c r="L717" s="1">
        <f>MATCH(K717, {"January";"February";"March";"April";"May";"June";"July";"August";"September";"October";"November";"December"}, 0)</f>
        <v>4</v>
      </c>
      <c r="M717" s="1" t="str" cm="1">
        <f t="array" ref="M717">IF(patients[[#This Row],[length_of_stay]]&gt;patients!$N$2:$N$2,"Over average","Less than average")</f>
        <v>Over average</v>
      </c>
    </row>
    <row r="718" spans="2:13" x14ac:dyDescent="0.25">
      <c r="B718" s="1" t="s">
        <v>1440</v>
      </c>
      <c r="C718" s="1" t="s">
        <v>1441</v>
      </c>
      <c r="D718">
        <v>78</v>
      </c>
      <c r="E718" s="2">
        <v>45675</v>
      </c>
      <c r="F718" s="2">
        <v>45677</v>
      </c>
      <c r="G718" s="1" t="s">
        <v>20</v>
      </c>
      <c r="H718">
        <v>81</v>
      </c>
      <c r="I718" s="19">
        <f>patients[[#This Row],[departure_date]]-patients[[#This Row],[arrival_date]]</f>
        <v>2</v>
      </c>
      <c r="J718" t="str">
        <f>IF(patients[[#This Row],[age]] &lt; 18,"0-17",IF(patients[[#This Row],[age]] &lt; 40,"18-39",IF(patients[[#This Row],[age]] &lt; 65,"40-64","65+")))</f>
        <v>65+</v>
      </c>
      <c r="K718" s="1" t="str">
        <f>TEXT(patients[[#This Row],[arrival_date]],"[$-409]mmmm")</f>
        <v>January</v>
      </c>
      <c r="L718" s="1">
        <f>MATCH(K718, {"January";"February";"March";"April";"May";"June";"July";"August";"September";"October";"November";"December"}, 0)</f>
        <v>1</v>
      </c>
      <c r="M718" s="1" t="str" cm="1">
        <f t="array" ref="M718">IF(patients[[#This Row],[length_of_stay]]&gt;patients!$N$2:$N$2,"Over average","Less than average")</f>
        <v>Less than average</v>
      </c>
    </row>
    <row r="719" spans="2:13" x14ac:dyDescent="0.25">
      <c r="B719" s="1" t="s">
        <v>1442</v>
      </c>
      <c r="C719" s="1" t="s">
        <v>1443</v>
      </c>
      <c r="D719">
        <v>10</v>
      </c>
      <c r="E719" s="2">
        <v>45842</v>
      </c>
      <c r="F719" s="2">
        <v>45855</v>
      </c>
      <c r="G719" s="1" t="s">
        <v>9</v>
      </c>
      <c r="H719">
        <v>63</v>
      </c>
      <c r="I719" s="19">
        <f>patients[[#This Row],[departure_date]]-patients[[#This Row],[arrival_date]]</f>
        <v>13</v>
      </c>
      <c r="J719" t="str">
        <f>IF(patients[[#This Row],[age]] &lt; 18,"0-17",IF(patients[[#This Row],[age]] &lt; 40,"18-39",IF(patients[[#This Row],[age]] &lt; 65,"40-64","65+")))</f>
        <v>0-17</v>
      </c>
      <c r="K719" s="1" t="str">
        <f>TEXT(patients[[#This Row],[arrival_date]],"[$-409]mmmm")</f>
        <v>July</v>
      </c>
      <c r="L719" s="1">
        <f>MATCH(K719, {"January";"February";"March";"April";"May";"June";"July";"August";"September";"October";"November";"December"}, 0)</f>
        <v>7</v>
      </c>
      <c r="M719" s="1" t="str" cm="1">
        <f t="array" ref="M719">IF(patients[[#This Row],[length_of_stay]]&gt;patients!$N$2:$N$2,"Over average","Less than average")</f>
        <v>Over average</v>
      </c>
    </row>
    <row r="720" spans="2:13" x14ac:dyDescent="0.25">
      <c r="B720" s="1" t="s">
        <v>1444</v>
      </c>
      <c r="C720" s="1" t="s">
        <v>1445</v>
      </c>
      <c r="D720">
        <v>85</v>
      </c>
      <c r="E720" s="2">
        <v>45792</v>
      </c>
      <c r="F720" s="2">
        <v>45805</v>
      </c>
      <c r="G720" s="1" t="s">
        <v>20</v>
      </c>
      <c r="H720">
        <v>83</v>
      </c>
      <c r="I720" s="19">
        <f>patients[[#This Row],[departure_date]]-patients[[#This Row],[arrival_date]]</f>
        <v>13</v>
      </c>
      <c r="J720" t="str">
        <f>IF(patients[[#This Row],[age]] &lt; 18,"0-17",IF(patients[[#This Row],[age]] &lt; 40,"18-39",IF(patients[[#This Row],[age]] &lt; 65,"40-64","65+")))</f>
        <v>65+</v>
      </c>
      <c r="K720" s="1" t="str">
        <f>TEXT(patients[[#This Row],[arrival_date]],"[$-409]mmmm")</f>
        <v>May</v>
      </c>
      <c r="L720" s="1">
        <f>MATCH(K720, {"January";"February";"March";"April";"May";"June";"July";"August";"September";"October";"November";"December"}, 0)</f>
        <v>5</v>
      </c>
      <c r="M720" s="1" t="str" cm="1">
        <f t="array" ref="M720">IF(patients[[#This Row],[length_of_stay]]&gt;patients!$N$2:$N$2,"Over average","Less than average")</f>
        <v>Over average</v>
      </c>
    </row>
    <row r="721" spans="2:13" x14ac:dyDescent="0.25">
      <c r="B721" s="1" t="s">
        <v>1446</v>
      </c>
      <c r="C721" s="1" t="s">
        <v>1447</v>
      </c>
      <c r="D721">
        <v>67</v>
      </c>
      <c r="E721" s="2">
        <v>45864</v>
      </c>
      <c r="F721" s="2">
        <v>45865</v>
      </c>
      <c r="G721" s="1" t="s">
        <v>20</v>
      </c>
      <c r="H721">
        <v>62</v>
      </c>
      <c r="I721" s="19">
        <f>patients[[#This Row],[departure_date]]-patients[[#This Row],[arrival_date]]</f>
        <v>1</v>
      </c>
      <c r="J721" t="str">
        <f>IF(patients[[#This Row],[age]] &lt; 18,"0-17",IF(patients[[#This Row],[age]] &lt; 40,"18-39",IF(patients[[#This Row],[age]] &lt; 65,"40-64","65+")))</f>
        <v>65+</v>
      </c>
      <c r="K721" s="1" t="str">
        <f>TEXT(patients[[#This Row],[arrival_date]],"[$-409]mmmm")</f>
        <v>July</v>
      </c>
      <c r="L721" s="1">
        <f>MATCH(K721, {"January";"February";"March";"April";"May";"June";"July";"August";"September";"October";"November";"December"}, 0)</f>
        <v>7</v>
      </c>
      <c r="M721" s="1" t="str" cm="1">
        <f t="array" ref="M721">IF(patients[[#This Row],[length_of_stay]]&gt;patients!$N$2:$N$2,"Over average","Less than average")</f>
        <v>Less than average</v>
      </c>
    </row>
    <row r="722" spans="2:13" x14ac:dyDescent="0.25">
      <c r="B722" s="1" t="s">
        <v>1448</v>
      </c>
      <c r="C722" s="1" t="s">
        <v>1449</v>
      </c>
      <c r="D722">
        <v>77</v>
      </c>
      <c r="E722" s="2">
        <v>45899</v>
      </c>
      <c r="F722" s="2">
        <v>45908</v>
      </c>
      <c r="G722" s="1" t="s">
        <v>9</v>
      </c>
      <c r="H722">
        <v>60</v>
      </c>
      <c r="I722" s="19">
        <f>patients[[#This Row],[departure_date]]-patients[[#This Row],[arrival_date]]</f>
        <v>9</v>
      </c>
      <c r="J722" t="str">
        <f>IF(patients[[#This Row],[age]] &lt; 18,"0-17",IF(patients[[#This Row],[age]] &lt; 40,"18-39",IF(patients[[#This Row],[age]] &lt; 65,"40-64","65+")))</f>
        <v>65+</v>
      </c>
      <c r="K722" s="1" t="str">
        <f>TEXT(patients[[#This Row],[arrival_date]],"[$-409]mmmm")</f>
        <v>August</v>
      </c>
      <c r="L722" s="1">
        <f>MATCH(K722, {"January";"February";"March";"April";"May";"June";"July";"August";"September";"October";"November";"December"}, 0)</f>
        <v>8</v>
      </c>
      <c r="M722" s="1" t="str" cm="1">
        <f t="array" ref="M722">IF(patients[[#This Row],[length_of_stay]]&gt;patients!$N$2:$N$2,"Over average","Less than average")</f>
        <v>Over average</v>
      </c>
    </row>
    <row r="723" spans="2:13" x14ac:dyDescent="0.25">
      <c r="B723" s="1" t="s">
        <v>1450</v>
      </c>
      <c r="C723" s="1" t="s">
        <v>1451</v>
      </c>
      <c r="D723">
        <v>37</v>
      </c>
      <c r="E723" s="2">
        <v>45790</v>
      </c>
      <c r="F723" s="2">
        <v>45791</v>
      </c>
      <c r="G723" s="1" t="s">
        <v>17</v>
      </c>
      <c r="H723">
        <v>69</v>
      </c>
      <c r="I723" s="19">
        <f>patients[[#This Row],[departure_date]]-patients[[#This Row],[arrival_date]]</f>
        <v>1</v>
      </c>
      <c r="J723" t="str">
        <f>IF(patients[[#This Row],[age]] &lt; 18,"0-17",IF(patients[[#This Row],[age]] &lt; 40,"18-39",IF(patients[[#This Row],[age]] &lt; 65,"40-64","65+")))</f>
        <v>18-39</v>
      </c>
      <c r="K723" s="1" t="str">
        <f>TEXT(patients[[#This Row],[arrival_date]],"[$-409]mmmm")</f>
        <v>May</v>
      </c>
      <c r="L723" s="1">
        <f>MATCH(K723, {"January";"February";"March";"April";"May";"June";"July";"August";"September";"October";"November";"December"}, 0)</f>
        <v>5</v>
      </c>
      <c r="M723" s="1" t="str" cm="1">
        <f t="array" ref="M723">IF(patients[[#This Row],[length_of_stay]]&gt;patients!$N$2:$N$2,"Over average","Less than average")</f>
        <v>Less than average</v>
      </c>
    </row>
    <row r="724" spans="2:13" x14ac:dyDescent="0.25">
      <c r="B724" s="1" t="s">
        <v>1452</v>
      </c>
      <c r="C724" s="1" t="s">
        <v>1453</v>
      </c>
      <c r="D724">
        <v>20</v>
      </c>
      <c r="E724" s="2">
        <v>45766</v>
      </c>
      <c r="F724" s="2">
        <v>45770</v>
      </c>
      <c r="G724" s="1" t="s">
        <v>9</v>
      </c>
      <c r="H724">
        <v>78</v>
      </c>
      <c r="I724" s="19">
        <f>patients[[#This Row],[departure_date]]-patients[[#This Row],[arrival_date]]</f>
        <v>4</v>
      </c>
      <c r="J724" t="str">
        <f>IF(patients[[#This Row],[age]] &lt; 18,"0-17",IF(patients[[#This Row],[age]] &lt; 40,"18-39",IF(patients[[#This Row],[age]] &lt; 65,"40-64","65+")))</f>
        <v>18-39</v>
      </c>
      <c r="K724" s="1" t="str">
        <f>TEXT(patients[[#This Row],[arrival_date]],"[$-409]mmmm")</f>
        <v>April</v>
      </c>
      <c r="L724" s="1">
        <f>MATCH(K724, {"January";"February";"March";"April";"May";"June";"July";"August";"September";"October";"November";"December"}, 0)</f>
        <v>4</v>
      </c>
      <c r="M724" s="1" t="str" cm="1">
        <f t="array" ref="M724">IF(patients[[#This Row],[length_of_stay]]&gt;patients!$N$2:$N$2,"Over average","Less than average")</f>
        <v>Less than average</v>
      </c>
    </row>
    <row r="725" spans="2:13" x14ac:dyDescent="0.25">
      <c r="B725" s="1" t="s">
        <v>1454</v>
      </c>
      <c r="C725" s="1" t="s">
        <v>1455</v>
      </c>
      <c r="D725">
        <v>34</v>
      </c>
      <c r="E725" s="2">
        <v>45726</v>
      </c>
      <c r="F725" s="2">
        <v>45727</v>
      </c>
      <c r="G725" s="1" t="s">
        <v>20</v>
      </c>
      <c r="H725">
        <v>63</v>
      </c>
      <c r="I725" s="19">
        <f>patients[[#This Row],[departure_date]]-patients[[#This Row],[arrival_date]]</f>
        <v>1</v>
      </c>
      <c r="J725" t="str">
        <f>IF(patients[[#This Row],[age]] &lt; 18,"0-17",IF(patients[[#This Row],[age]] &lt; 40,"18-39",IF(patients[[#This Row],[age]] &lt; 65,"40-64","65+")))</f>
        <v>18-39</v>
      </c>
      <c r="K725" s="1" t="str">
        <f>TEXT(patients[[#This Row],[arrival_date]],"[$-409]mmmm")</f>
        <v>March</v>
      </c>
      <c r="L725" s="1">
        <f>MATCH(K725, {"January";"February";"March";"April";"May";"June";"July";"August";"September";"October";"November";"December"}, 0)</f>
        <v>3</v>
      </c>
      <c r="M725" s="1" t="str" cm="1">
        <f t="array" ref="M725">IF(patients[[#This Row],[length_of_stay]]&gt;patients!$N$2:$N$2,"Over average","Less than average")</f>
        <v>Less than average</v>
      </c>
    </row>
    <row r="726" spans="2:13" x14ac:dyDescent="0.25">
      <c r="B726" s="1" t="s">
        <v>1456</v>
      </c>
      <c r="C726" s="1" t="s">
        <v>1457</v>
      </c>
      <c r="D726">
        <v>11</v>
      </c>
      <c r="E726" s="2">
        <v>45940</v>
      </c>
      <c r="F726" s="2">
        <v>45948</v>
      </c>
      <c r="G726" s="1" t="s">
        <v>20</v>
      </c>
      <c r="H726">
        <v>82</v>
      </c>
      <c r="I726" s="19">
        <f>patients[[#This Row],[departure_date]]-patients[[#This Row],[arrival_date]]</f>
        <v>8</v>
      </c>
      <c r="J726" t="str">
        <f>IF(patients[[#This Row],[age]] &lt; 18,"0-17",IF(patients[[#This Row],[age]] &lt; 40,"18-39",IF(patients[[#This Row],[age]] &lt; 65,"40-64","65+")))</f>
        <v>0-17</v>
      </c>
      <c r="K726" s="1" t="str">
        <f>TEXT(patients[[#This Row],[arrival_date]],"[$-409]mmmm")</f>
        <v>October</v>
      </c>
      <c r="L726" s="1">
        <f>MATCH(K726, {"January";"February";"March";"April";"May";"June";"July";"August";"September";"October";"November";"December"}, 0)</f>
        <v>10</v>
      </c>
      <c r="M726" s="1" t="str" cm="1">
        <f t="array" ref="M726">IF(patients[[#This Row],[length_of_stay]]&gt;patients!$N$2:$N$2,"Over average","Less than average")</f>
        <v>Over average</v>
      </c>
    </row>
    <row r="727" spans="2:13" x14ac:dyDescent="0.25">
      <c r="B727" s="1" t="s">
        <v>1458</v>
      </c>
      <c r="C727" s="1" t="s">
        <v>1459</v>
      </c>
      <c r="D727">
        <v>24</v>
      </c>
      <c r="E727" s="2">
        <v>45718</v>
      </c>
      <c r="F727" s="2">
        <v>45728</v>
      </c>
      <c r="G727" s="1" t="s">
        <v>17</v>
      </c>
      <c r="H727">
        <v>83</v>
      </c>
      <c r="I727" s="19">
        <f>patients[[#This Row],[departure_date]]-patients[[#This Row],[arrival_date]]</f>
        <v>10</v>
      </c>
      <c r="J727" t="str">
        <f>IF(patients[[#This Row],[age]] &lt; 18,"0-17",IF(patients[[#This Row],[age]] &lt; 40,"18-39",IF(patients[[#This Row],[age]] &lt; 65,"40-64","65+")))</f>
        <v>18-39</v>
      </c>
      <c r="K727" s="1" t="str">
        <f>TEXT(patients[[#This Row],[arrival_date]],"[$-409]mmmm")</f>
        <v>March</v>
      </c>
      <c r="L727" s="1">
        <f>MATCH(K727, {"January";"February";"March";"April";"May";"June";"July";"August";"September";"October";"November";"December"}, 0)</f>
        <v>3</v>
      </c>
      <c r="M727" s="1" t="str" cm="1">
        <f t="array" ref="M727">IF(patients[[#This Row],[length_of_stay]]&gt;patients!$N$2:$N$2,"Over average","Less than average")</f>
        <v>Over average</v>
      </c>
    </row>
    <row r="728" spans="2:13" x14ac:dyDescent="0.25">
      <c r="B728" s="1" t="s">
        <v>1460</v>
      </c>
      <c r="C728" s="1" t="s">
        <v>1461</v>
      </c>
      <c r="D728">
        <v>24</v>
      </c>
      <c r="E728" s="2">
        <v>45968</v>
      </c>
      <c r="F728" s="2">
        <v>45982</v>
      </c>
      <c r="G728" s="1" t="s">
        <v>17</v>
      </c>
      <c r="H728">
        <v>91</v>
      </c>
      <c r="I728" s="19">
        <f>patients[[#This Row],[departure_date]]-patients[[#This Row],[arrival_date]]</f>
        <v>14</v>
      </c>
      <c r="J728" t="str">
        <f>IF(patients[[#This Row],[age]] &lt; 18,"0-17",IF(patients[[#This Row],[age]] &lt; 40,"18-39",IF(patients[[#This Row],[age]] &lt; 65,"40-64","65+")))</f>
        <v>18-39</v>
      </c>
      <c r="K728" s="1" t="str">
        <f>TEXT(patients[[#This Row],[arrival_date]],"[$-409]mmmm")</f>
        <v>November</v>
      </c>
      <c r="L728" s="1">
        <f>MATCH(K728, {"January";"February";"March";"April";"May";"June";"July";"August";"September";"October";"November";"December"}, 0)</f>
        <v>11</v>
      </c>
      <c r="M728" s="1" t="str" cm="1">
        <f t="array" ref="M728">IF(patients[[#This Row],[length_of_stay]]&gt;patients!$N$2:$N$2,"Over average","Less than average")</f>
        <v>Over average</v>
      </c>
    </row>
    <row r="729" spans="2:13" x14ac:dyDescent="0.25">
      <c r="B729" s="1" t="s">
        <v>1462</v>
      </c>
      <c r="C729" s="1" t="s">
        <v>1463</v>
      </c>
      <c r="D729">
        <v>54</v>
      </c>
      <c r="E729" s="2">
        <v>45693</v>
      </c>
      <c r="F729" s="2">
        <v>45707</v>
      </c>
      <c r="G729" s="1" t="s">
        <v>20</v>
      </c>
      <c r="H729">
        <v>98</v>
      </c>
      <c r="I729" s="19">
        <f>patients[[#This Row],[departure_date]]-patients[[#This Row],[arrival_date]]</f>
        <v>14</v>
      </c>
      <c r="J729" t="str">
        <f>IF(patients[[#This Row],[age]] &lt; 18,"0-17",IF(patients[[#This Row],[age]] &lt; 40,"18-39",IF(patients[[#This Row],[age]] &lt; 65,"40-64","65+")))</f>
        <v>40-64</v>
      </c>
      <c r="K729" s="1" t="str">
        <f>TEXT(patients[[#This Row],[arrival_date]],"[$-409]mmmm")</f>
        <v>February</v>
      </c>
      <c r="L729" s="1">
        <f>MATCH(K729, {"January";"February";"March";"April";"May";"June";"July";"August";"September";"October";"November";"December"}, 0)</f>
        <v>2</v>
      </c>
      <c r="M729" s="1" t="str" cm="1">
        <f t="array" ref="M729">IF(patients[[#This Row],[length_of_stay]]&gt;patients!$N$2:$N$2,"Over average","Less than average")</f>
        <v>Over average</v>
      </c>
    </row>
    <row r="730" spans="2:13" x14ac:dyDescent="0.25">
      <c r="B730" s="1" t="s">
        <v>1464</v>
      </c>
      <c r="C730" s="1" t="s">
        <v>1465</v>
      </c>
      <c r="D730">
        <v>79</v>
      </c>
      <c r="E730" s="2">
        <v>45870</v>
      </c>
      <c r="F730" s="2">
        <v>45883</v>
      </c>
      <c r="G730" s="1" t="s">
        <v>17</v>
      </c>
      <c r="H730">
        <v>68</v>
      </c>
      <c r="I730" s="19">
        <f>patients[[#This Row],[departure_date]]-patients[[#This Row],[arrival_date]]</f>
        <v>13</v>
      </c>
      <c r="J730" t="str">
        <f>IF(patients[[#This Row],[age]] &lt; 18,"0-17",IF(patients[[#This Row],[age]] &lt; 40,"18-39",IF(patients[[#This Row],[age]] &lt; 65,"40-64","65+")))</f>
        <v>65+</v>
      </c>
      <c r="K730" s="1" t="str">
        <f>TEXT(patients[[#This Row],[arrival_date]],"[$-409]mmmm")</f>
        <v>August</v>
      </c>
      <c r="L730" s="1">
        <f>MATCH(K730, {"January";"February";"March";"April";"May";"June";"July";"August";"September";"October";"November";"December"}, 0)</f>
        <v>8</v>
      </c>
      <c r="M730" s="1" t="str" cm="1">
        <f t="array" ref="M730">IF(patients[[#This Row],[length_of_stay]]&gt;patients!$N$2:$N$2,"Over average","Less than average")</f>
        <v>Over average</v>
      </c>
    </row>
    <row r="731" spans="2:13" x14ac:dyDescent="0.25">
      <c r="B731" s="1" t="s">
        <v>1466</v>
      </c>
      <c r="C731" s="1" t="s">
        <v>1467</v>
      </c>
      <c r="D731">
        <v>5</v>
      </c>
      <c r="E731" s="2">
        <v>45766</v>
      </c>
      <c r="F731" s="2">
        <v>45769</v>
      </c>
      <c r="G731" s="1" t="s">
        <v>14</v>
      </c>
      <c r="H731">
        <v>98</v>
      </c>
      <c r="I731" s="19">
        <f>patients[[#This Row],[departure_date]]-patients[[#This Row],[arrival_date]]</f>
        <v>3</v>
      </c>
      <c r="J731" t="str">
        <f>IF(patients[[#This Row],[age]] &lt; 18,"0-17",IF(patients[[#This Row],[age]] &lt; 40,"18-39",IF(patients[[#This Row],[age]] &lt; 65,"40-64","65+")))</f>
        <v>0-17</v>
      </c>
      <c r="K731" s="1" t="str">
        <f>TEXT(patients[[#This Row],[arrival_date]],"[$-409]mmmm")</f>
        <v>April</v>
      </c>
      <c r="L731" s="1">
        <f>MATCH(K731, {"January";"February";"March";"April";"May";"June";"July";"August";"September";"October";"November";"December"}, 0)</f>
        <v>4</v>
      </c>
      <c r="M731" s="1" t="str" cm="1">
        <f t="array" ref="M731">IF(patients[[#This Row],[length_of_stay]]&gt;patients!$N$2:$N$2,"Over average","Less than average")</f>
        <v>Less than average</v>
      </c>
    </row>
    <row r="732" spans="2:13" x14ac:dyDescent="0.25">
      <c r="B732" s="1" t="s">
        <v>1468</v>
      </c>
      <c r="C732" s="1" t="s">
        <v>1469</v>
      </c>
      <c r="D732">
        <v>21</v>
      </c>
      <c r="E732" s="2">
        <v>45775</v>
      </c>
      <c r="F732" s="2">
        <v>45780</v>
      </c>
      <c r="G732" s="1" t="s">
        <v>17</v>
      </c>
      <c r="H732">
        <v>82</v>
      </c>
      <c r="I732" s="19">
        <f>patients[[#This Row],[departure_date]]-patients[[#This Row],[arrival_date]]</f>
        <v>5</v>
      </c>
      <c r="J732" t="str">
        <f>IF(patients[[#This Row],[age]] &lt; 18,"0-17",IF(patients[[#This Row],[age]] &lt; 40,"18-39",IF(patients[[#This Row],[age]] &lt; 65,"40-64","65+")))</f>
        <v>18-39</v>
      </c>
      <c r="K732" s="1" t="str">
        <f>TEXT(patients[[#This Row],[arrival_date]],"[$-409]mmmm")</f>
        <v>April</v>
      </c>
      <c r="L732" s="1">
        <f>MATCH(K732, {"January";"February";"March";"April";"May";"June";"July";"August";"September";"October";"November";"December"}, 0)</f>
        <v>4</v>
      </c>
      <c r="M732" s="1" t="str" cm="1">
        <f t="array" ref="M732">IF(patients[[#This Row],[length_of_stay]]&gt;patients!$N$2:$N$2,"Over average","Less than average")</f>
        <v>Less than average</v>
      </c>
    </row>
    <row r="733" spans="2:13" x14ac:dyDescent="0.25">
      <c r="B733" s="1" t="s">
        <v>1470</v>
      </c>
      <c r="C733" s="1" t="s">
        <v>1471</v>
      </c>
      <c r="D733">
        <v>80</v>
      </c>
      <c r="E733" s="2">
        <v>45970</v>
      </c>
      <c r="F733" s="2">
        <v>45976</v>
      </c>
      <c r="G733" s="1" t="s">
        <v>20</v>
      </c>
      <c r="H733">
        <v>68</v>
      </c>
      <c r="I733" s="19">
        <f>patients[[#This Row],[departure_date]]-patients[[#This Row],[arrival_date]]</f>
        <v>6</v>
      </c>
      <c r="J733" t="str">
        <f>IF(patients[[#This Row],[age]] &lt; 18,"0-17",IF(patients[[#This Row],[age]] &lt; 40,"18-39",IF(patients[[#This Row],[age]] &lt; 65,"40-64","65+")))</f>
        <v>65+</v>
      </c>
      <c r="K733" s="1" t="str">
        <f>TEXT(patients[[#This Row],[arrival_date]],"[$-409]mmmm")</f>
        <v>November</v>
      </c>
      <c r="L733" s="1">
        <f>MATCH(K733, {"January";"February";"March";"April";"May";"June";"July";"August";"September";"October";"November";"December"}, 0)</f>
        <v>11</v>
      </c>
      <c r="M733" s="1" t="str" cm="1">
        <f t="array" ref="M733">IF(patients[[#This Row],[length_of_stay]]&gt;patients!$N$2:$N$2,"Over average","Less than average")</f>
        <v>Less than average</v>
      </c>
    </row>
    <row r="734" spans="2:13" x14ac:dyDescent="0.25">
      <c r="B734" s="1" t="s">
        <v>1472</v>
      </c>
      <c r="C734" s="1" t="s">
        <v>1473</v>
      </c>
      <c r="D734">
        <v>28</v>
      </c>
      <c r="E734" s="2">
        <v>45822</v>
      </c>
      <c r="F734" s="2">
        <v>45829</v>
      </c>
      <c r="G734" s="1" t="s">
        <v>14</v>
      </c>
      <c r="H734">
        <v>72</v>
      </c>
      <c r="I734" s="19">
        <f>patients[[#This Row],[departure_date]]-patients[[#This Row],[arrival_date]]</f>
        <v>7</v>
      </c>
      <c r="J734" t="str">
        <f>IF(patients[[#This Row],[age]] &lt; 18,"0-17",IF(patients[[#This Row],[age]] &lt; 40,"18-39",IF(patients[[#This Row],[age]] &lt; 65,"40-64","65+")))</f>
        <v>18-39</v>
      </c>
      <c r="K734" s="1" t="str">
        <f>TEXT(patients[[#This Row],[arrival_date]],"[$-409]mmmm")</f>
        <v>June</v>
      </c>
      <c r="L734" s="1">
        <f>MATCH(K734, {"January";"February";"March";"April";"May";"June";"July";"August";"September";"October";"November";"December"}, 0)</f>
        <v>6</v>
      </c>
      <c r="M734" s="1" t="str" cm="1">
        <f t="array" ref="M734">IF(patients[[#This Row],[length_of_stay]]&gt;patients!$N$2:$N$2,"Over average","Less than average")</f>
        <v>Less than average</v>
      </c>
    </row>
    <row r="735" spans="2:13" x14ac:dyDescent="0.25">
      <c r="B735" s="1" t="s">
        <v>1474</v>
      </c>
      <c r="C735" s="1" t="s">
        <v>1475</v>
      </c>
      <c r="D735">
        <v>31</v>
      </c>
      <c r="E735" s="2">
        <v>45769</v>
      </c>
      <c r="F735" s="2">
        <v>45776</v>
      </c>
      <c r="G735" s="1" t="s">
        <v>9</v>
      </c>
      <c r="H735">
        <v>76</v>
      </c>
      <c r="I735" s="19">
        <f>patients[[#This Row],[departure_date]]-patients[[#This Row],[arrival_date]]</f>
        <v>7</v>
      </c>
      <c r="J735" t="str">
        <f>IF(patients[[#This Row],[age]] &lt; 18,"0-17",IF(patients[[#This Row],[age]] &lt; 40,"18-39",IF(patients[[#This Row],[age]] &lt; 65,"40-64","65+")))</f>
        <v>18-39</v>
      </c>
      <c r="K735" s="1" t="str">
        <f>TEXT(patients[[#This Row],[arrival_date]],"[$-409]mmmm")</f>
        <v>April</v>
      </c>
      <c r="L735" s="1">
        <f>MATCH(K735, {"January";"February";"March";"April";"May";"June";"July";"August";"September";"October";"November";"December"}, 0)</f>
        <v>4</v>
      </c>
      <c r="M735" s="1" t="str" cm="1">
        <f t="array" ref="M735">IF(patients[[#This Row],[length_of_stay]]&gt;patients!$N$2:$N$2,"Over average","Less than average")</f>
        <v>Less than average</v>
      </c>
    </row>
    <row r="736" spans="2:13" x14ac:dyDescent="0.25">
      <c r="B736" s="1" t="s">
        <v>1476</v>
      </c>
      <c r="C736" s="1" t="s">
        <v>1477</v>
      </c>
      <c r="D736">
        <v>84</v>
      </c>
      <c r="E736" s="2">
        <v>45791</v>
      </c>
      <c r="F736" s="2">
        <v>45803</v>
      </c>
      <c r="G736" s="1" t="s">
        <v>9</v>
      </c>
      <c r="H736">
        <v>77</v>
      </c>
      <c r="I736" s="19">
        <f>patients[[#This Row],[departure_date]]-patients[[#This Row],[arrival_date]]</f>
        <v>12</v>
      </c>
      <c r="J736" t="str">
        <f>IF(patients[[#This Row],[age]] &lt; 18,"0-17",IF(patients[[#This Row],[age]] &lt; 40,"18-39",IF(patients[[#This Row],[age]] &lt; 65,"40-64","65+")))</f>
        <v>65+</v>
      </c>
      <c r="K736" s="1" t="str">
        <f>TEXT(patients[[#This Row],[arrival_date]],"[$-409]mmmm")</f>
        <v>May</v>
      </c>
      <c r="L736" s="1">
        <f>MATCH(K736, {"January";"February";"March";"April";"May";"June";"July";"August";"September";"October";"November";"December"}, 0)</f>
        <v>5</v>
      </c>
      <c r="M736" s="1" t="str" cm="1">
        <f t="array" ref="M736">IF(patients[[#This Row],[length_of_stay]]&gt;patients!$N$2:$N$2,"Over average","Less than average")</f>
        <v>Over average</v>
      </c>
    </row>
    <row r="737" spans="2:13" x14ac:dyDescent="0.25">
      <c r="B737" s="1" t="s">
        <v>1478</v>
      </c>
      <c r="C737" s="1" t="s">
        <v>1479</v>
      </c>
      <c r="D737">
        <v>21</v>
      </c>
      <c r="E737" s="2">
        <v>45946</v>
      </c>
      <c r="F737" s="2">
        <v>45960</v>
      </c>
      <c r="G737" s="1" t="s">
        <v>9</v>
      </c>
      <c r="H737">
        <v>76</v>
      </c>
      <c r="I737" s="19">
        <f>patients[[#This Row],[departure_date]]-patients[[#This Row],[arrival_date]]</f>
        <v>14</v>
      </c>
      <c r="J737" t="str">
        <f>IF(patients[[#This Row],[age]] &lt; 18,"0-17",IF(patients[[#This Row],[age]] &lt; 40,"18-39",IF(patients[[#This Row],[age]] &lt; 65,"40-64","65+")))</f>
        <v>18-39</v>
      </c>
      <c r="K737" s="1" t="str">
        <f>TEXT(patients[[#This Row],[arrival_date]],"[$-409]mmmm")</f>
        <v>October</v>
      </c>
      <c r="L737" s="1">
        <f>MATCH(K737, {"January";"February";"March";"April";"May";"June";"July";"August";"September";"October";"November";"December"}, 0)</f>
        <v>10</v>
      </c>
      <c r="M737" s="1" t="str" cm="1">
        <f t="array" ref="M737">IF(patients[[#This Row],[length_of_stay]]&gt;patients!$N$2:$N$2,"Over average","Less than average")</f>
        <v>Over average</v>
      </c>
    </row>
    <row r="738" spans="2:13" x14ac:dyDescent="0.25">
      <c r="B738" s="1" t="s">
        <v>1480</v>
      </c>
      <c r="C738" s="1" t="s">
        <v>1481</v>
      </c>
      <c r="D738">
        <v>31</v>
      </c>
      <c r="E738" s="2">
        <v>45779</v>
      </c>
      <c r="F738" s="2">
        <v>45789</v>
      </c>
      <c r="G738" s="1" t="s">
        <v>9</v>
      </c>
      <c r="H738">
        <v>95</v>
      </c>
      <c r="I738" s="19">
        <f>patients[[#This Row],[departure_date]]-patients[[#This Row],[arrival_date]]</f>
        <v>10</v>
      </c>
      <c r="J738" t="str">
        <f>IF(patients[[#This Row],[age]] &lt; 18,"0-17",IF(patients[[#This Row],[age]] &lt; 40,"18-39",IF(patients[[#This Row],[age]] &lt; 65,"40-64","65+")))</f>
        <v>18-39</v>
      </c>
      <c r="K738" s="1" t="str">
        <f>TEXT(patients[[#This Row],[arrival_date]],"[$-409]mmmm")</f>
        <v>May</v>
      </c>
      <c r="L738" s="1">
        <f>MATCH(K738, {"January";"February";"March";"April";"May";"June";"July";"August";"September";"October";"November";"December"}, 0)</f>
        <v>5</v>
      </c>
      <c r="M738" s="1" t="str" cm="1">
        <f t="array" ref="M738">IF(patients[[#This Row],[length_of_stay]]&gt;patients!$N$2:$N$2,"Over average","Less than average")</f>
        <v>Over average</v>
      </c>
    </row>
    <row r="739" spans="2:13" x14ac:dyDescent="0.25">
      <c r="B739" s="1" t="s">
        <v>1482</v>
      </c>
      <c r="C739" s="1" t="s">
        <v>1483</v>
      </c>
      <c r="D739">
        <v>33</v>
      </c>
      <c r="E739" s="2">
        <v>45891</v>
      </c>
      <c r="F739" s="2">
        <v>45903</v>
      </c>
      <c r="G739" s="1" t="s">
        <v>17</v>
      </c>
      <c r="H739">
        <v>70</v>
      </c>
      <c r="I739" s="19">
        <f>patients[[#This Row],[departure_date]]-patients[[#This Row],[arrival_date]]</f>
        <v>12</v>
      </c>
      <c r="J739" t="str">
        <f>IF(patients[[#This Row],[age]] &lt; 18,"0-17",IF(patients[[#This Row],[age]] &lt; 40,"18-39",IF(patients[[#This Row],[age]] &lt; 65,"40-64","65+")))</f>
        <v>18-39</v>
      </c>
      <c r="K739" s="1" t="str">
        <f>TEXT(patients[[#This Row],[arrival_date]],"[$-409]mmmm")</f>
        <v>August</v>
      </c>
      <c r="L739" s="1">
        <f>MATCH(K739, {"January";"February";"March";"April";"May";"June";"July";"August";"September";"October";"November";"December"}, 0)</f>
        <v>8</v>
      </c>
      <c r="M739" s="1" t="str" cm="1">
        <f t="array" ref="M739">IF(patients[[#This Row],[length_of_stay]]&gt;patients!$N$2:$N$2,"Over average","Less than average")</f>
        <v>Over average</v>
      </c>
    </row>
    <row r="740" spans="2:13" x14ac:dyDescent="0.25">
      <c r="B740" s="1" t="s">
        <v>1484</v>
      </c>
      <c r="C740" s="1" t="s">
        <v>1485</v>
      </c>
      <c r="D740">
        <v>77</v>
      </c>
      <c r="E740" s="2">
        <v>45904</v>
      </c>
      <c r="F740" s="2">
        <v>45910</v>
      </c>
      <c r="G740" s="1" t="s">
        <v>14</v>
      </c>
      <c r="H740">
        <v>78</v>
      </c>
      <c r="I740" s="19">
        <f>patients[[#This Row],[departure_date]]-patients[[#This Row],[arrival_date]]</f>
        <v>6</v>
      </c>
      <c r="J740" t="str">
        <f>IF(patients[[#This Row],[age]] &lt; 18,"0-17",IF(patients[[#This Row],[age]] &lt; 40,"18-39",IF(patients[[#This Row],[age]] &lt; 65,"40-64","65+")))</f>
        <v>65+</v>
      </c>
      <c r="K740" s="1" t="str">
        <f>TEXT(patients[[#This Row],[arrival_date]],"[$-409]mmmm")</f>
        <v>September</v>
      </c>
      <c r="L740" s="1">
        <f>MATCH(K740, {"January";"February";"March";"April";"May";"June";"July";"August";"September";"October";"November";"December"}, 0)</f>
        <v>9</v>
      </c>
      <c r="M740" s="1" t="str" cm="1">
        <f t="array" ref="M740">IF(patients[[#This Row],[length_of_stay]]&gt;patients!$N$2:$N$2,"Over average","Less than average")</f>
        <v>Less than average</v>
      </c>
    </row>
    <row r="741" spans="2:13" x14ac:dyDescent="0.25">
      <c r="B741" s="1" t="s">
        <v>1486</v>
      </c>
      <c r="C741" s="1" t="s">
        <v>1487</v>
      </c>
      <c r="D741">
        <v>14</v>
      </c>
      <c r="E741" s="2">
        <v>45809</v>
      </c>
      <c r="F741" s="2">
        <v>45817</v>
      </c>
      <c r="G741" s="1" t="s">
        <v>9</v>
      </c>
      <c r="H741">
        <v>68</v>
      </c>
      <c r="I741" s="19">
        <f>patients[[#This Row],[departure_date]]-patients[[#This Row],[arrival_date]]</f>
        <v>8</v>
      </c>
      <c r="J741" t="str">
        <f>IF(patients[[#This Row],[age]] &lt; 18,"0-17",IF(patients[[#This Row],[age]] &lt; 40,"18-39",IF(patients[[#This Row],[age]] &lt; 65,"40-64","65+")))</f>
        <v>0-17</v>
      </c>
      <c r="K741" s="1" t="str">
        <f>TEXT(patients[[#This Row],[arrival_date]],"[$-409]mmmm")</f>
        <v>June</v>
      </c>
      <c r="L741" s="1">
        <f>MATCH(K741, {"January";"February";"March";"April";"May";"June";"July";"August";"September";"October";"November";"December"}, 0)</f>
        <v>6</v>
      </c>
      <c r="M741" s="1" t="str" cm="1">
        <f t="array" ref="M741">IF(patients[[#This Row],[length_of_stay]]&gt;patients!$N$2:$N$2,"Over average","Less than average")</f>
        <v>Over average</v>
      </c>
    </row>
    <row r="742" spans="2:13" x14ac:dyDescent="0.25">
      <c r="B742" s="1" t="s">
        <v>1488</v>
      </c>
      <c r="C742" s="1" t="s">
        <v>1489</v>
      </c>
      <c r="D742">
        <v>46</v>
      </c>
      <c r="E742" s="2">
        <v>45676</v>
      </c>
      <c r="F742" s="2">
        <v>45679</v>
      </c>
      <c r="G742" s="1" t="s">
        <v>17</v>
      </c>
      <c r="H742">
        <v>69</v>
      </c>
      <c r="I742" s="19">
        <f>patients[[#This Row],[departure_date]]-patients[[#This Row],[arrival_date]]</f>
        <v>3</v>
      </c>
      <c r="J742" t="str">
        <f>IF(patients[[#This Row],[age]] &lt; 18,"0-17",IF(patients[[#This Row],[age]] &lt; 40,"18-39",IF(patients[[#This Row],[age]] &lt; 65,"40-64","65+")))</f>
        <v>40-64</v>
      </c>
      <c r="K742" s="1" t="str">
        <f>TEXT(patients[[#This Row],[arrival_date]],"[$-409]mmmm")</f>
        <v>January</v>
      </c>
      <c r="L742" s="1">
        <f>MATCH(K742, {"January";"February";"March";"April";"May";"June";"July";"August";"September";"October";"November";"December"}, 0)</f>
        <v>1</v>
      </c>
      <c r="M742" s="1" t="str" cm="1">
        <f t="array" ref="M742">IF(patients[[#This Row],[length_of_stay]]&gt;patients!$N$2:$N$2,"Over average","Less than average")</f>
        <v>Less than average</v>
      </c>
    </row>
    <row r="743" spans="2:13" x14ac:dyDescent="0.25">
      <c r="B743" s="1" t="s">
        <v>1490</v>
      </c>
      <c r="C743" s="1" t="s">
        <v>1491</v>
      </c>
      <c r="D743">
        <v>39</v>
      </c>
      <c r="E743" s="2">
        <v>46011</v>
      </c>
      <c r="F743" s="2">
        <v>46014</v>
      </c>
      <c r="G743" s="1" t="s">
        <v>14</v>
      </c>
      <c r="H743">
        <v>72</v>
      </c>
      <c r="I743" s="19">
        <f>patients[[#This Row],[departure_date]]-patients[[#This Row],[arrival_date]]</f>
        <v>3</v>
      </c>
      <c r="J743" t="str">
        <f>IF(patients[[#This Row],[age]] &lt; 18,"0-17",IF(patients[[#This Row],[age]] &lt; 40,"18-39",IF(patients[[#This Row],[age]] &lt; 65,"40-64","65+")))</f>
        <v>18-39</v>
      </c>
      <c r="K743" s="1" t="str">
        <f>TEXT(patients[[#This Row],[arrival_date]],"[$-409]mmmm")</f>
        <v>December</v>
      </c>
      <c r="L743" s="1">
        <f>MATCH(K743, {"January";"February";"March";"April";"May";"June";"July";"August";"September";"October";"November";"December"}, 0)</f>
        <v>12</v>
      </c>
      <c r="M743" s="1" t="str" cm="1">
        <f t="array" ref="M743">IF(patients[[#This Row],[length_of_stay]]&gt;patients!$N$2:$N$2,"Over average","Less than average")</f>
        <v>Less than average</v>
      </c>
    </row>
    <row r="744" spans="2:13" x14ac:dyDescent="0.25">
      <c r="B744" s="1" t="s">
        <v>1492</v>
      </c>
      <c r="C744" s="1" t="s">
        <v>1493</v>
      </c>
      <c r="D744">
        <v>0</v>
      </c>
      <c r="E744" s="2">
        <v>45750</v>
      </c>
      <c r="F744" s="2">
        <v>45763</v>
      </c>
      <c r="G744" s="1" t="s">
        <v>9</v>
      </c>
      <c r="H744">
        <v>88</v>
      </c>
      <c r="I744" s="19">
        <f>patients[[#This Row],[departure_date]]-patients[[#This Row],[arrival_date]]</f>
        <v>13</v>
      </c>
      <c r="J744" t="str">
        <f>IF(patients[[#This Row],[age]] &lt; 18,"0-17",IF(patients[[#This Row],[age]] &lt; 40,"18-39",IF(patients[[#This Row],[age]] &lt; 65,"40-64","65+")))</f>
        <v>0-17</v>
      </c>
      <c r="K744" s="1" t="str">
        <f>TEXT(patients[[#This Row],[arrival_date]],"[$-409]mmmm")</f>
        <v>April</v>
      </c>
      <c r="L744" s="1">
        <f>MATCH(K744, {"January";"February";"March";"April";"May";"June";"July";"August";"September";"October";"November";"December"}, 0)</f>
        <v>4</v>
      </c>
      <c r="M744" s="1" t="str" cm="1">
        <f t="array" ref="M744">IF(patients[[#This Row],[length_of_stay]]&gt;patients!$N$2:$N$2,"Over average","Less than average")</f>
        <v>Over average</v>
      </c>
    </row>
    <row r="745" spans="2:13" x14ac:dyDescent="0.25">
      <c r="B745" s="1" t="s">
        <v>1494</v>
      </c>
      <c r="C745" s="1" t="s">
        <v>1495</v>
      </c>
      <c r="D745">
        <v>38</v>
      </c>
      <c r="E745" s="2">
        <v>46001</v>
      </c>
      <c r="F745" s="2">
        <v>46011</v>
      </c>
      <c r="G745" s="1" t="s">
        <v>20</v>
      </c>
      <c r="H745">
        <v>76</v>
      </c>
      <c r="I745" s="19">
        <f>patients[[#This Row],[departure_date]]-patients[[#This Row],[arrival_date]]</f>
        <v>10</v>
      </c>
      <c r="J745" t="str">
        <f>IF(patients[[#This Row],[age]] &lt; 18,"0-17",IF(patients[[#This Row],[age]] &lt; 40,"18-39",IF(patients[[#This Row],[age]] &lt; 65,"40-64","65+")))</f>
        <v>18-39</v>
      </c>
      <c r="K745" s="1" t="str">
        <f>TEXT(patients[[#This Row],[arrival_date]],"[$-409]mmmm")</f>
        <v>December</v>
      </c>
      <c r="L745" s="1">
        <f>MATCH(K745, {"January";"February";"March";"April";"May";"June";"July";"August";"September";"October";"November";"December"}, 0)</f>
        <v>12</v>
      </c>
      <c r="M745" s="1" t="str" cm="1">
        <f t="array" ref="M745">IF(patients[[#This Row],[length_of_stay]]&gt;patients!$N$2:$N$2,"Over average","Less than average")</f>
        <v>Over average</v>
      </c>
    </row>
    <row r="746" spans="2:13" x14ac:dyDescent="0.25">
      <c r="B746" s="1" t="s">
        <v>1496</v>
      </c>
      <c r="C746" s="1" t="s">
        <v>1497</v>
      </c>
      <c r="D746">
        <v>70</v>
      </c>
      <c r="E746" s="2">
        <v>45982</v>
      </c>
      <c r="F746" s="2">
        <v>45992</v>
      </c>
      <c r="G746" s="1" t="s">
        <v>17</v>
      </c>
      <c r="H746">
        <v>62</v>
      </c>
      <c r="I746" s="19">
        <f>patients[[#This Row],[departure_date]]-patients[[#This Row],[arrival_date]]</f>
        <v>10</v>
      </c>
      <c r="J746" t="str">
        <f>IF(patients[[#This Row],[age]] &lt; 18,"0-17",IF(patients[[#This Row],[age]] &lt; 40,"18-39",IF(patients[[#This Row],[age]] &lt; 65,"40-64","65+")))</f>
        <v>65+</v>
      </c>
      <c r="K746" s="1" t="str">
        <f>TEXT(patients[[#This Row],[arrival_date]],"[$-409]mmmm")</f>
        <v>November</v>
      </c>
      <c r="L746" s="1">
        <f>MATCH(K746, {"January";"February";"March";"April";"May";"June";"July";"August";"September";"October";"November";"December"}, 0)</f>
        <v>11</v>
      </c>
      <c r="M746" s="1" t="str" cm="1">
        <f t="array" ref="M746">IF(patients[[#This Row],[length_of_stay]]&gt;patients!$N$2:$N$2,"Over average","Less than average")</f>
        <v>Over average</v>
      </c>
    </row>
    <row r="747" spans="2:13" x14ac:dyDescent="0.25">
      <c r="B747" s="1" t="s">
        <v>1498</v>
      </c>
      <c r="C747" s="1" t="s">
        <v>1499</v>
      </c>
      <c r="D747">
        <v>6</v>
      </c>
      <c r="E747" s="2">
        <v>45962</v>
      </c>
      <c r="F747" s="2">
        <v>45969</v>
      </c>
      <c r="G747" s="1" t="s">
        <v>9</v>
      </c>
      <c r="H747">
        <v>60</v>
      </c>
      <c r="I747" s="19">
        <f>patients[[#This Row],[departure_date]]-patients[[#This Row],[arrival_date]]</f>
        <v>7</v>
      </c>
      <c r="J747" t="str">
        <f>IF(patients[[#This Row],[age]] &lt; 18,"0-17",IF(patients[[#This Row],[age]] &lt; 40,"18-39",IF(patients[[#This Row],[age]] &lt; 65,"40-64","65+")))</f>
        <v>0-17</v>
      </c>
      <c r="K747" s="1" t="str">
        <f>TEXT(patients[[#This Row],[arrival_date]],"[$-409]mmmm")</f>
        <v>November</v>
      </c>
      <c r="L747" s="1">
        <f>MATCH(K747, {"January";"February";"March";"April";"May";"June";"July";"August";"September";"October";"November";"December"}, 0)</f>
        <v>11</v>
      </c>
      <c r="M747" s="1" t="str" cm="1">
        <f t="array" ref="M747">IF(patients[[#This Row],[length_of_stay]]&gt;patients!$N$2:$N$2,"Over average","Less than average")</f>
        <v>Less than average</v>
      </c>
    </row>
    <row r="748" spans="2:13" x14ac:dyDescent="0.25">
      <c r="B748" s="1" t="s">
        <v>1500</v>
      </c>
      <c r="C748" s="1" t="s">
        <v>1501</v>
      </c>
      <c r="D748">
        <v>61</v>
      </c>
      <c r="E748" s="2">
        <v>45828</v>
      </c>
      <c r="F748" s="2">
        <v>45837</v>
      </c>
      <c r="G748" s="1" t="s">
        <v>17</v>
      </c>
      <c r="H748">
        <v>62</v>
      </c>
      <c r="I748" s="19">
        <f>patients[[#This Row],[departure_date]]-patients[[#This Row],[arrival_date]]</f>
        <v>9</v>
      </c>
      <c r="J748" t="str">
        <f>IF(patients[[#This Row],[age]] &lt; 18,"0-17",IF(patients[[#This Row],[age]] &lt; 40,"18-39",IF(patients[[#This Row],[age]] &lt; 65,"40-64","65+")))</f>
        <v>40-64</v>
      </c>
      <c r="K748" s="1" t="str">
        <f>TEXT(patients[[#This Row],[arrival_date]],"[$-409]mmmm")</f>
        <v>June</v>
      </c>
      <c r="L748" s="1">
        <f>MATCH(K748, {"January";"February";"March";"April";"May";"June";"July";"August";"September";"October";"November";"December"}, 0)</f>
        <v>6</v>
      </c>
      <c r="M748" s="1" t="str" cm="1">
        <f t="array" ref="M748">IF(patients[[#This Row],[length_of_stay]]&gt;patients!$N$2:$N$2,"Over average","Less than average")</f>
        <v>Over average</v>
      </c>
    </row>
    <row r="749" spans="2:13" x14ac:dyDescent="0.25">
      <c r="B749" s="1" t="s">
        <v>1502</v>
      </c>
      <c r="C749" s="1" t="s">
        <v>1503</v>
      </c>
      <c r="D749">
        <v>78</v>
      </c>
      <c r="E749" s="2">
        <v>45774</v>
      </c>
      <c r="F749" s="2">
        <v>45785</v>
      </c>
      <c r="G749" s="1" t="s">
        <v>17</v>
      </c>
      <c r="H749">
        <v>91</v>
      </c>
      <c r="I749" s="19">
        <f>patients[[#This Row],[departure_date]]-patients[[#This Row],[arrival_date]]</f>
        <v>11</v>
      </c>
      <c r="J749" t="str">
        <f>IF(patients[[#This Row],[age]] &lt; 18,"0-17",IF(patients[[#This Row],[age]] &lt; 40,"18-39",IF(patients[[#This Row],[age]] &lt; 65,"40-64","65+")))</f>
        <v>65+</v>
      </c>
      <c r="K749" s="1" t="str">
        <f>TEXT(patients[[#This Row],[arrival_date]],"[$-409]mmmm")</f>
        <v>April</v>
      </c>
      <c r="L749" s="1">
        <f>MATCH(K749, {"January";"February";"March";"April";"May";"June";"July";"August";"September";"October";"November";"December"}, 0)</f>
        <v>4</v>
      </c>
      <c r="M749" s="1" t="str" cm="1">
        <f t="array" ref="M749">IF(patients[[#This Row],[length_of_stay]]&gt;patients!$N$2:$N$2,"Over average","Less than average")</f>
        <v>Over average</v>
      </c>
    </row>
    <row r="750" spans="2:13" x14ac:dyDescent="0.25">
      <c r="B750" s="1" t="s">
        <v>1504</v>
      </c>
      <c r="C750" s="1" t="s">
        <v>1505</v>
      </c>
      <c r="D750">
        <v>25</v>
      </c>
      <c r="E750" s="2">
        <v>45801</v>
      </c>
      <c r="F750" s="2">
        <v>45810</v>
      </c>
      <c r="G750" s="1" t="s">
        <v>20</v>
      </c>
      <c r="H750">
        <v>87</v>
      </c>
      <c r="I750" s="19">
        <f>patients[[#This Row],[departure_date]]-patients[[#This Row],[arrival_date]]</f>
        <v>9</v>
      </c>
      <c r="J750" t="str">
        <f>IF(patients[[#This Row],[age]] &lt; 18,"0-17",IF(patients[[#This Row],[age]] &lt; 40,"18-39",IF(patients[[#This Row],[age]] &lt; 65,"40-64","65+")))</f>
        <v>18-39</v>
      </c>
      <c r="K750" s="1" t="str">
        <f>TEXT(patients[[#This Row],[arrival_date]],"[$-409]mmmm")</f>
        <v>May</v>
      </c>
      <c r="L750" s="1">
        <f>MATCH(K750, {"January";"February";"March";"April";"May";"June";"July";"August";"September";"October";"November";"December"}, 0)</f>
        <v>5</v>
      </c>
      <c r="M750" s="1" t="str" cm="1">
        <f t="array" ref="M750">IF(patients[[#This Row],[length_of_stay]]&gt;patients!$N$2:$N$2,"Over average","Less than average")</f>
        <v>Over average</v>
      </c>
    </row>
    <row r="751" spans="2:13" x14ac:dyDescent="0.25">
      <c r="B751" s="1" t="s">
        <v>1506</v>
      </c>
      <c r="C751" s="1" t="s">
        <v>1507</v>
      </c>
      <c r="D751">
        <v>72</v>
      </c>
      <c r="E751" s="2">
        <v>45969</v>
      </c>
      <c r="F751" s="2">
        <v>45970</v>
      </c>
      <c r="G751" s="1" t="s">
        <v>20</v>
      </c>
      <c r="H751">
        <v>88</v>
      </c>
      <c r="I751" s="19">
        <f>patients[[#This Row],[departure_date]]-patients[[#This Row],[arrival_date]]</f>
        <v>1</v>
      </c>
      <c r="J751" t="str">
        <f>IF(patients[[#This Row],[age]] &lt; 18,"0-17",IF(patients[[#This Row],[age]] &lt; 40,"18-39",IF(patients[[#This Row],[age]] &lt; 65,"40-64","65+")))</f>
        <v>65+</v>
      </c>
      <c r="K751" s="1" t="str">
        <f>TEXT(patients[[#This Row],[arrival_date]],"[$-409]mmmm")</f>
        <v>November</v>
      </c>
      <c r="L751" s="1">
        <f>MATCH(K751, {"January";"February";"March";"April";"May";"June";"July";"August";"September";"October";"November";"December"}, 0)</f>
        <v>11</v>
      </c>
      <c r="M751" s="1" t="str" cm="1">
        <f t="array" ref="M751">IF(patients[[#This Row],[length_of_stay]]&gt;patients!$N$2:$N$2,"Over average","Less than average")</f>
        <v>Less than average</v>
      </c>
    </row>
    <row r="752" spans="2:13" x14ac:dyDescent="0.25">
      <c r="B752" s="1" t="s">
        <v>1508</v>
      </c>
      <c r="C752" s="1" t="s">
        <v>1509</v>
      </c>
      <c r="D752">
        <v>85</v>
      </c>
      <c r="E752" s="2">
        <v>46021</v>
      </c>
      <c r="F752" s="2">
        <v>46024</v>
      </c>
      <c r="G752" s="1" t="s">
        <v>20</v>
      </c>
      <c r="H752">
        <v>66</v>
      </c>
      <c r="I752" s="19">
        <f>patients[[#This Row],[departure_date]]-patients[[#This Row],[arrival_date]]</f>
        <v>3</v>
      </c>
      <c r="J752" t="str">
        <f>IF(patients[[#This Row],[age]] &lt; 18,"0-17",IF(patients[[#This Row],[age]] &lt; 40,"18-39",IF(patients[[#This Row],[age]] &lt; 65,"40-64","65+")))</f>
        <v>65+</v>
      </c>
      <c r="K752" s="1" t="str">
        <f>TEXT(patients[[#This Row],[arrival_date]],"[$-409]mmmm")</f>
        <v>December</v>
      </c>
      <c r="L752" s="1">
        <f>MATCH(K752, {"January";"February";"March";"April";"May";"June";"July";"August";"September";"October";"November";"December"}, 0)</f>
        <v>12</v>
      </c>
      <c r="M752" s="1" t="str" cm="1">
        <f t="array" ref="M752">IF(patients[[#This Row],[length_of_stay]]&gt;patients!$N$2:$N$2,"Over average","Less than average")</f>
        <v>Less than average</v>
      </c>
    </row>
    <row r="753" spans="2:13" x14ac:dyDescent="0.25">
      <c r="B753" s="1" t="s">
        <v>1510</v>
      </c>
      <c r="C753" s="1" t="s">
        <v>1511</v>
      </c>
      <c r="D753">
        <v>77</v>
      </c>
      <c r="E753" s="2">
        <v>45996</v>
      </c>
      <c r="F753" s="2">
        <v>45999</v>
      </c>
      <c r="G753" s="1" t="s">
        <v>17</v>
      </c>
      <c r="H753">
        <v>61</v>
      </c>
      <c r="I753" s="19">
        <f>patients[[#This Row],[departure_date]]-patients[[#This Row],[arrival_date]]</f>
        <v>3</v>
      </c>
      <c r="J753" t="str">
        <f>IF(patients[[#This Row],[age]] &lt; 18,"0-17",IF(patients[[#This Row],[age]] &lt; 40,"18-39",IF(patients[[#This Row],[age]] &lt; 65,"40-64","65+")))</f>
        <v>65+</v>
      </c>
      <c r="K753" s="1" t="str">
        <f>TEXT(patients[[#This Row],[arrival_date]],"[$-409]mmmm")</f>
        <v>December</v>
      </c>
      <c r="L753" s="1">
        <f>MATCH(K753, {"January";"February";"March";"April";"May";"June";"July";"August";"September";"October";"November";"December"}, 0)</f>
        <v>12</v>
      </c>
      <c r="M753" s="1" t="str" cm="1">
        <f t="array" ref="M753">IF(patients[[#This Row],[length_of_stay]]&gt;patients!$N$2:$N$2,"Over average","Less than average")</f>
        <v>Less than average</v>
      </c>
    </row>
    <row r="754" spans="2:13" x14ac:dyDescent="0.25">
      <c r="B754" s="1" t="s">
        <v>1512</v>
      </c>
      <c r="C754" s="1" t="s">
        <v>1513</v>
      </c>
      <c r="D754">
        <v>40</v>
      </c>
      <c r="E754" s="2">
        <v>45928</v>
      </c>
      <c r="F754" s="2">
        <v>45931</v>
      </c>
      <c r="G754" s="1" t="s">
        <v>17</v>
      </c>
      <c r="H754">
        <v>70</v>
      </c>
      <c r="I754" s="19">
        <f>patients[[#This Row],[departure_date]]-patients[[#This Row],[arrival_date]]</f>
        <v>3</v>
      </c>
      <c r="J754" t="str">
        <f>IF(patients[[#This Row],[age]] &lt; 18,"0-17",IF(patients[[#This Row],[age]] &lt; 40,"18-39",IF(patients[[#This Row],[age]] &lt; 65,"40-64","65+")))</f>
        <v>40-64</v>
      </c>
      <c r="K754" s="1" t="str">
        <f>TEXT(patients[[#This Row],[arrival_date]],"[$-409]mmmm")</f>
        <v>September</v>
      </c>
      <c r="L754" s="1">
        <f>MATCH(K754, {"January";"February";"March";"April";"May";"June";"July";"August";"September";"October";"November";"December"}, 0)</f>
        <v>9</v>
      </c>
      <c r="M754" s="1" t="str" cm="1">
        <f t="array" ref="M754">IF(patients[[#This Row],[length_of_stay]]&gt;patients!$N$2:$N$2,"Over average","Less than average")</f>
        <v>Less than average</v>
      </c>
    </row>
    <row r="755" spans="2:13" x14ac:dyDescent="0.25">
      <c r="B755" s="1" t="s">
        <v>1514</v>
      </c>
      <c r="C755" s="1" t="s">
        <v>1515</v>
      </c>
      <c r="D755">
        <v>52</v>
      </c>
      <c r="E755" s="2">
        <v>45687</v>
      </c>
      <c r="F755" s="2">
        <v>45696</v>
      </c>
      <c r="G755" s="1" t="s">
        <v>9</v>
      </c>
      <c r="H755">
        <v>99</v>
      </c>
      <c r="I755" s="19">
        <f>patients[[#This Row],[departure_date]]-patients[[#This Row],[arrival_date]]</f>
        <v>9</v>
      </c>
      <c r="J755" t="str">
        <f>IF(patients[[#This Row],[age]] &lt; 18,"0-17",IF(patients[[#This Row],[age]] &lt; 40,"18-39",IF(patients[[#This Row],[age]] &lt; 65,"40-64","65+")))</f>
        <v>40-64</v>
      </c>
      <c r="K755" s="1" t="str">
        <f>TEXT(patients[[#This Row],[arrival_date]],"[$-409]mmmm")</f>
        <v>January</v>
      </c>
      <c r="L755" s="1">
        <f>MATCH(K755, {"January";"February";"March";"April";"May";"June";"July";"August";"September";"October";"November";"December"}, 0)</f>
        <v>1</v>
      </c>
      <c r="M755" s="1" t="str" cm="1">
        <f t="array" ref="M755">IF(patients[[#This Row],[length_of_stay]]&gt;patients!$N$2:$N$2,"Over average","Less than average")</f>
        <v>Over average</v>
      </c>
    </row>
    <row r="756" spans="2:13" x14ac:dyDescent="0.25">
      <c r="B756" s="1" t="s">
        <v>1516</v>
      </c>
      <c r="C756" s="1" t="s">
        <v>1517</v>
      </c>
      <c r="D756">
        <v>17</v>
      </c>
      <c r="E756" s="2">
        <v>45705</v>
      </c>
      <c r="F756" s="2">
        <v>45707</v>
      </c>
      <c r="G756" s="1" t="s">
        <v>14</v>
      </c>
      <c r="H756">
        <v>91</v>
      </c>
      <c r="I756" s="19">
        <f>patients[[#This Row],[departure_date]]-patients[[#This Row],[arrival_date]]</f>
        <v>2</v>
      </c>
      <c r="J756" t="str">
        <f>IF(patients[[#This Row],[age]] &lt; 18,"0-17",IF(patients[[#This Row],[age]] &lt; 40,"18-39",IF(patients[[#This Row],[age]] &lt; 65,"40-64","65+")))</f>
        <v>0-17</v>
      </c>
      <c r="K756" s="1" t="str">
        <f>TEXT(patients[[#This Row],[arrival_date]],"[$-409]mmmm")</f>
        <v>February</v>
      </c>
      <c r="L756" s="1">
        <f>MATCH(K756, {"January";"February";"March";"April";"May";"June";"July";"August";"September";"October";"November";"December"}, 0)</f>
        <v>2</v>
      </c>
      <c r="M756" s="1" t="str" cm="1">
        <f t="array" ref="M756">IF(patients[[#This Row],[length_of_stay]]&gt;patients!$N$2:$N$2,"Over average","Less than average")</f>
        <v>Less than average</v>
      </c>
    </row>
    <row r="757" spans="2:13" x14ac:dyDescent="0.25">
      <c r="B757" s="1" t="s">
        <v>1518</v>
      </c>
      <c r="C757" s="1" t="s">
        <v>1519</v>
      </c>
      <c r="D757">
        <v>7</v>
      </c>
      <c r="E757" s="2">
        <v>45663</v>
      </c>
      <c r="F757" s="2">
        <v>45675</v>
      </c>
      <c r="G757" s="1" t="s">
        <v>9</v>
      </c>
      <c r="H757">
        <v>99</v>
      </c>
      <c r="I757" s="19">
        <f>patients[[#This Row],[departure_date]]-patients[[#This Row],[arrival_date]]</f>
        <v>12</v>
      </c>
      <c r="J757" t="str">
        <f>IF(patients[[#This Row],[age]] &lt; 18,"0-17",IF(patients[[#This Row],[age]] &lt; 40,"18-39",IF(patients[[#This Row],[age]] &lt; 65,"40-64","65+")))</f>
        <v>0-17</v>
      </c>
      <c r="K757" s="1" t="str">
        <f>TEXT(patients[[#This Row],[arrival_date]],"[$-409]mmmm")</f>
        <v>January</v>
      </c>
      <c r="L757" s="1">
        <f>MATCH(K757, {"January";"February";"March";"April";"May";"June";"July";"August";"September";"October";"November";"December"}, 0)</f>
        <v>1</v>
      </c>
      <c r="M757" s="1" t="str" cm="1">
        <f t="array" ref="M757">IF(patients[[#This Row],[length_of_stay]]&gt;patients!$N$2:$N$2,"Over average","Less than average")</f>
        <v>Over average</v>
      </c>
    </row>
    <row r="758" spans="2:13" x14ac:dyDescent="0.25">
      <c r="B758" s="1" t="s">
        <v>1520</v>
      </c>
      <c r="C758" s="1" t="s">
        <v>1521</v>
      </c>
      <c r="D758">
        <v>35</v>
      </c>
      <c r="E758" s="2">
        <v>45877</v>
      </c>
      <c r="F758" s="2">
        <v>45881</v>
      </c>
      <c r="G758" s="1" t="s">
        <v>14</v>
      </c>
      <c r="H758">
        <v>77</v>
      </c>
      <c r="I758" s="19">
        <f>patients[[#This Row],[departure_date]]-patients[[#This Row],[arrival_date]]</f>
        <v>4</v>
      </c>
      <c r="J758" t="str">
        <f>IF(patients[[#This Row],[age]] &lt; 18,"0-17",IF(patients[[#This Row],[age]] &lt; 40,"18-39",IF(patients[[#This Row],[age]] &lt; 65,"40-64","65+")))</f>
        <v>18-39</v>
      </c>
      <c r="K758" s="1" t="str">
        <f>TEXT(patients[[#This Row],[arrival_date]],"[$-409]mmmm")</f>
        <v>August</v>
      </c>
      <c r="L758" s="1">
        <f>MATCH(K758, {"January";"February";"March";"April";"May";"June";"July";"August";"September";"October";"November";"December"}, 0)</f>
        <v>8</v>
      </c>
      <c r="M758" s="1" t="str" cm="1">
        <f t="array" ref="M758">IF(patients[[#This Row],[length_of_stay]]&gt;patients!$N$2:$N$2,"Over average","Less than average")</f>
        <v>Less than average</v>
      </c>
    </row>
    <row r="759" spans="2:13" x14ac:dyDescent="0.25">
      <c r="B759" s="1" t="s">
        <v>1522</v>
      </c>
      <c r="C759" s="1" t="s">
        <v>1040</v>
      </c>
      <c r="D759">
        <v>65</v>
      </c>
      <c r="E759" s="2">
        <v>45702</v>
      </c>
      <c r="F759" s="2">
        <v>45708</v>
      </c>
      <c r="G759" s="1" t="s">
        <v>17</v>
      </c>
      <c r="H759">
        <v>74</v>
      </c>
      <c r="I759" s="19">
        <f>patients[[#This Row],[departure_date]]-patients[[#This Row],[arrival_date]]</f>
        <v>6</v>
      </c>
      <c r="J759" t="str">
        <f>IF(patients[[#This Row],[age]] &lt; 18,"0-17",IF(patients[[#This Row],[age]] &lt; 40,"18-39",IF(patients[[#This Row],[age]] &lt; 65,"40-64","65+")))</f>
        <v>65+</v>
      </c>
      <c r="K759" s="1" t="str">
        <f>TEXT(patients[[#This Row],[arrival_date]],"[$-409]mmmm")</f>
        <v>February</v>
      </c>
      <c r="L759" s="1">
        <f>MATCH(K759, {"January";"February";"March";"April";"May";"June";"July";"August";"September";"October";"November";"December"}, 0)</f>
        <v>2</v>
      </c>
      <c r="M759" s="1" t="str" cm="1">
        <f t="array" ref="M759">IF(patients[[#This Row],[length_of_stay]]&gt;patients!$N$2:$N$2,"Over average","Less than average")</f>
        <v>Less than average</v>
      </c>
    </row>
    <row r="760" spans="2:13" x14ac:dyDescent="0.25">
      <c r="B760" s="1" t="s">
        <v>1523</v>
      </c>
      <c r="C760" s="1" t="s">
        <v>1524</v>
      </c>
      <c r="D760">
        <v>19</v>
      </c>
      <c r="E760" s="2">
        <v>45878</v>
      </c>
      <c r="F760" s="2">
        <v>45889</v>
      </c>
      <c r="G760" s="1" t="s">
        <v>20</v>
      </c>
      <c r="H760">
        <v>88</v>
      </c>
      <c r="I760" s="19">
        <f>patients[[#This Row],[departure_date]]-patients[[#This Row],[arrival_date]]</f>
        <v>11</v>
      </c>
      <c r="J760" t="str">
        <f>IF(patients[[#This Row],[age]] &lt; 18,"0-17",IF(patients[[#This Row],[age]] &lt; 40,"18-39",IF(patients[[#This Row],[age]] &lt; 65,"40-64","65+")))</f>
        <v>18-39</v>
      </c>
      <c r="K760" s="1" t="str">
        <f>TEXT(patients[[#This Row],[arrival_date]],"[$-409]mmmm")</f>
        <v>August</v>
      </c>
      <c r="L760" s="1">
        <f>MATCH(K760, {"January";"February";"March";"April";"May";"June";"July";"August";"September";"October";"November";"December"}, 0)</f>
        <v>8</v>
      </c>
      <c r="M760" s="1" t="str" cm="1">
        <f t="array" ref="M760">IF(patients[[#This Row],[length_of_stay]]&gt;patients!$N$2:$N$2,"Over average","Less than average")</f>
        <v>Over average</v>
      </c>
    </row>
    <row r="761" spans="2:13" x14ac:dyDescent="0.25">
      <c r="B761" s="1" t="s">
        <v>1525</v>
      </c>
      <c r="C761" s="1" t="s">
        <v>1526</v>
      </c>
      <c r="D761">
        <v>66</v>
      </c>
      <c r="E761" s="2">
        <v>45660</v>
      </c>
      <c r="F761" s="2">
        <v>45666</v>
      </c>
      <c r="G761" s="1" t="s">
        <v>14</v>
      </c>
      <c r="H761">
        <v>73</v>
      </c>
      <c r="I761" s="19">
        <f>patients[[#This Row],[departure_date]]-patients[[#This Row],[arrival_date]]</f>
        <v>6</v>
      </c>
      <c r="J761" t="str">
        <f>IF(patients[[#This Row],[age]] &lt; 18,"0-17",IF(patients[[#This Row],[age]] &lt; 40,"18-39",IF(patients[[#This Row],[age]] &lt; 65,"40-64","65+")))</f>
        <v>65+</v>
      </c>
      <c r="K761" s="1" t="str">
        <f>TEXT(patients[[#This Row],[arrival_date]],"[$-409]mmmm")</f>
        <v>January</v>
      </c>
      <c r="L761" s="1">
        <f>MATCH(K761, {"January";"February";"March";"April";"May";"June";"July";"August";"September";"October";"November";"December"}, 0)</f>
        <v>1</v>
      </c>
      <c r="M761" s="1" t="str" cm="1">
        <f t="array" ref="M761">IF(patients[[#This Row],[length_of_stay]]&gt;patients!$N$2:$N$2,"Over average","Less than average")</f>
        <v>Less than average</v>
      </c>
    </row>
    <row r="762" spans="2:13" x14ac:dyDescent="0.25">
      <c r="B762" s="1" t="s">
        <v>1527</v>
      </c>
      <c r="C762" s="1" t="s">
        <v>1528</v>
      </c>
      <c r="D762">
        <v>63</v>
      </c>
      <c r="E762" s="2">
        <v>45716</v>
      </c>
      <c r="F762" s="2">
        <v>45723</v>
      </c>
      <c r="G762" s="1" t="s">
        <v>20</v>
      </c>
      <c r="H762">
        <v>63</v>
      </c>
      <c r="I762" s="19">
        <f>patients[[#This Row],[departure_date]]-patients[[#This Row],[arrival_date]]</f>
        <v>7</v>
      </c>
      <c r="J762" t="str">
        <f>IF(patients[[#This Row],[age]] &lt; 18,"0-17",IF(patients[[#This Row],[age]] &lt; 40,"18-39",IF(patients[[#This Row],[age]] &lt; 65,"40-64","65+")))</f>
        <v>40-64</v>
      </c>
      <c r="K762" s="1" t="str">
        <f>TEXT(patients[[#This Row],[arrival_date]],"[$-409]mmmm")</f>
        <v>February</v>
      </c>
      <c r="L762" s="1">
        <f>MATCH(K762, {"January";"February";"March";"April";"May";"June";"July";"August";"September";"October";"November";"December"}, 0)</f>
        <v>2</v>
      </c>
      <c r="M762" s="1" t="str" cm="1">
        <f t="array" ref="M762">IF(patients[[#This Row],[length_of_stay]]&gt;patients!$N$2:$N$2,"Over average","Less than average")</f>
        <v>Less than average</v>
      </c>
    </row>
    <row r="763" spans="2:13" x14ac:dyDescent="0.25">
      <c r="B763" s="1" t="s">
        <v>1529</v>
      </c>
      <c r="C763" s="1" t="s">
        <v>1530</v>
      </c>
      <c r="D763">
        <v>59</v>
      </c>
      <c r="E763" s="2">
        <v>45988</v>
      </c>
      <c r="F763" s="2">
        <v>45998</v>
      </c>
      <c r="G763" s="1" t="s">
        <v>20</v>
      </c>
      <c r="H763">
        <v>90</v>
      </c>
      <c r="I763" s="19">
        <f>patients[[#This Row],[departure_date]]-patients[[#This Row],[arrival_date]]</f>
        <v>10</v>
      </c>
      <c r="J763" t="str">
        <f>IF(patients[[#This Row],[age]] &lt; 18,"0-17",IF(patients[[#This Row],[age]] &lt; 40,"18-39",IF(patients[[#This Row],[age]] &lt; 65,"40-64","65+")))</f>
        <v>40-64</v>
      </c>
      <c r="K763" s="1" t="str">
        <f>TEXT(patients[[#This Row],[arrival_date]],"[$-409]mmmm")</f>
        <v>November</v>
      </c>
      <c r="L763" s="1">
        <f>MATCH(K763, {"January";"February";"March";"April";"May";"June";"July";"August";"September";"October";"November";"December"}, 0)</f>
        <v>11</v>
      </c>
      <c r="M763" s="1" t="str" cm="1">
        <f t="array" ref="M763">IF(patients[[#This Row],[length_of_stay]]&gt;patients!$N$2:$N$2,"Over average","Less than average")</f>
        <v>Over average</v>
      </c>
    </row>
    <row r="764" spans="2:13" x14ac:dyDescent="0.25">
      <c r="B764" s="1" t="s">
        <v>1531</v>
      </c>
      <c r="C764" s="1" t="s">
        <v>1532</v>
      </c>
      <c r="D764">
        <v>29</v>
      </c>
      <c r="E764" s="2">
        <v>45719</v>
      </c>
      <c r="F764" s="2">
        <v>45720</v>
      </c>
      <c r="G764" s="1" t="s">
        <v>14</v>
      </c>
      <c r="H764">
        <v>68</v>
      </c>
      <c r="I764" s="19">
        <f>patients[[#This Row],[departure_date]]-patients[[#This Row],[arrival_date]]</f>
        <v>1</v>
      </c>
      <c r="J764" t="str">
        <f>IF(patients[[#This Row],[age]] &lt; 18,"0-17",IF(patients[[#This Row],[age]] &lt; 40,"18-39",IF(patients[[#This Row],[age]] &lt; 65,"40-64","65+")))</f>
        <v>18-39</v>
      </c>
      <c r="K764" s="1" t="str">
        <f>TEXT(patients[[#This Row],[arrival_date]],"[$-409]mmmm")</f>
        <v>March</v>
      </c>
      <c r="L764" s="1">
        <f>MATCH(K764, {"January";"February";"March";"April";"May";"June";"July";"August";"September";"October";"November";"December"}, 0)</f>
        <v>3</v>
      </c>
      <c r="M764" s="1" t="str" cm="1">
        <f t="array" ref="M764">IF(patients[[#This Row],[length_of_stay]]&gt;patients!$N$2:$N$2,"Over average","Less than average")</f>
        <v>Less than average</v>
      </c>
    </row>
    <row r="765" spans="2:13" x14ac:dyDescent="0.25">
      <c r="B765" s="1" t="s">
        <v>1533</v>
      </c>
      <c r="C765" s="1" t="s">
        <v>1534</v>
      </c>
      <c r="D765">
        <v>30</v>
      </c>
      <c r="E765" s="2">
        <v>45974</v>
      </c>
      <c r="F765" s="2">
        <v>45982</v>
      </c>
      <c r="G765" s="1" t="s">
        <v>20</v>
      </c>
      <c r="H765">
        <v>74</v>
      </c>
      <c r="I765" s="19">
        <f>patients[[#This Row],[departure_date]]-patients[[#This Row],[arrival_date]]</f>
        <v>8</v>
      </c>
      <c r="J765" t="str">
        <f>IF(patients[[#This Row],[age]] &lt; 18,"0-17",IF(patients[[#This Row],[age]] &lt; 40,"18-39",IF(patients[[#This Row],[age]] &lt; 65,"40-64","65+")))</f>
        <v>18-39</v>
      </c>
      <c r="K765" s="1" t="str">
        <f>TEXT(patients[[#This Row],[arrival_date]],"[$-409]mmmm")</f>
        <v>November</v>
      </c>
      <c r="L765" s="1">
        <f>MATCH(K765, {"January";"February";"March";"April";"May";"June";"July";"August";"September";"October";"November";"December"}, 0)</f>
        <v>11</v>
      </c>
      <c r="M765" s="1" t="str" cm="1">
        <f t="array" ref="M765">IF(patients[[#This Row],[length_of_stay]]&gt;patients!$N$2:$N$2,"Over average","Less than average")</f>
        <v>Over average</v>
      </c>
    </row>
    <row r="766" spans="2:13" x14ac:dyDescent="0.25">
      <c r="B766" s="1" t="s">
        <v>1535</v>
      </c>
      <c r="C766" s="1" t="s">
        <v>1536</v>
      </c>
      <c r="D766">
        <v>47</v>
      </c>
      <c r="E766" s="2">
        <v>45793</v>
      </c>
      <c r="F766" s="2">
        <v>45802</v>
      </c>
      <c r="G766" s="1" t="s">
        <v>17</v>
      </c>
      <c r="H766">
        <v>96</v>
      </c>
      <c r="I766" s="19">
        <f>patients[[#This Row],[departure_date]]-patients[[#This Row],[arrival_date]]</f>
        <v>9</v>
      </c>
      <c r="J766" t="str">
        <f>IF(patients[[#This Row],[age]] &lt; 18,"0-17",IF(patients[[#This Row],[age]] &lt; 40,"18-39",IF(patients[[#This Row],[age]] &lt; 65,"40-64","65+")))</f>
        <v>40-64</v>
      </c>
      <c r="K766" s="1" t="str">
        <f>TEXT(patients[[#This Row],[arrival_date]],"[$-409]mmmm")</f>
        <v>May</v>
      </c>
      <c r="L766" s="1">
        <f>MATCH(K766, {"January";"February";"March";"April";"May";"June";"July";"August";"September";"October";"November";"December"}, 0)</f>
        <v>5</v>
      </c>
      <c r="M766" s="1" t="str" cm="1">
        <f t="array" ref="M766">IF(patients[[#This Row],[length_of_stay]]&gt;patients!$N$2:$N$2,"Over average","Less than average")</f>
        <v>Over average</v>
      </c>
    </row>
    <row r="767" spans="2:13" x14ac:dyDescent="0.25">
      <c r="B767" s="1" t="s">
        <v>1537</v>
      </c>
      <c r="C767" s="1" t="s">
        <v>1538</v>
      </c>
      <c r="D767">
        <v>44</v>
      </c>
      <c r="E767" s="2">
        <v>45952</v>
      </c>
      <c r="F767" s="2">
        <v>45962</v>
      </c>
      <c r="G767" s="1" t="s">
        <v>9</v>
      </c>
      <c r="H767">
        <v>76</v>
      </c>
      <c r="I767" s="19">
        <f>patients[[#This Row],[departure_date]]-patients[[#This Row],[arrival_date]]</f>
        <v>10</v>
      </c>
      <c r="J767" t="str">
        <f>IF(patients[[#This Row],[age]] &lt; 18,"0-17",IF(patients[[#This Row],[age]] &lt; 40,"18-39",IF(patients[[#This Row],[age]] &lt; 65,"40-64","65+")))</f>
        <v>40-64</v>
      </c>
      <c r="K767" s="1" t="str">
        <f>TEXT(patients[[#This Row],[arrival_date]],"[$-409]mmmm")</f>
        <v>October</v>
      </c>
      <c r="L767" s="1">
        <f>MATCH(K767, {"January";"February";"March";"April";"May";"June";"July";"August";"September";"October";"November";"December"}, 0)</f>
        <v>10</v>
      </c>
      <c r="M767" s="1" t="str" cm="1">
        <f t="array" ref="M767">IF(patients[[#This Row],[length_of_stay]]&gt;patients!$N$2:$N$2,"Over average","Less than average")</f>
        <v>Over average</v>
      </c>
    </row>
    <row r="768" spans="2:13" x14ac:dyDescent="0.25">
      <c r="B768" s="1" t="s">
        <v>1539</v>
      </c>
      <c r="C768" s="1" t="s">
        <v>1540</v>
      </c>
      <c r="D768">
        <v>82</v>
      </c>
      <c r="E768" s="2">
        <v>45701</v>
      </c>
      <c r="F768" s="2">
        <v>45714</v>
      </c>
      <c r="G768" s="1" t="s">
        <v>20</v>
      </c>
      <c r="H768">
        <v>66</v>
      </c>
      <c r="I768" s="19">
        <f>patients[[#This Row],[departure_date]]-patients[[#This Row],[arrival_date]]</f>
        <v>13</v>
      </c>
      <c r="J768" t="str">
        <f>IF(patients[[#This Row],[age]] &lt; 18,"0-17",IF(patients[[#This Row],[age]] &lt; 40,"18-39",IF(patients[[#This Row],[age]] &lt; 65,"40-64","65+")))</f>
        <v>65+</v>
      </c>
      <c r="K768" s="1" t="str">
        <f>TEXT(patients[[#This Row],[arrival_date]],"[$-409]mmmm")</f>
        <v>February</v>
      </c>
      <c r="L768" s="1">
        <f>MATCH(K768, {"January";"February";"March";"April";"May";"June";"July";"August";"September";"October";"November";"December"}, 0)</f>
        <v>2</v>
      </c>
      <c r="M768" s="1" t="str" cm="1">
        <f t="array" ref="M768">IF(patients[[#This Row],[length_of_stay]]&gt;patients!$N$2:$N$2,"Over average","Less than average")</f>
        <v>Over average</v>
      </c>
    </row>
    <row r="769" spans="2:13" x14ac:dyDescent="0.25">
      <c r="B769" s="1" t="s">
        <v>1541</v>
      </c>
      <c r="C769" s="1" t="s">
        <v>1542</v>
      </c>
      <c r="D769">
        <v>8</v>
      </c>
      <c r="E769" s="2">
        <v>45877</v>
      </c>
      <c r="F769" s="2">
        <v>45883</v>
      </c>
      <c r="G769" s="1" t="s">
        <v>14</v>
      </c>
      <c r="H769">
        <v>88</v>
      </c>
      <c r="I769" s="19">
        <f>patients[[#This Row],[departure_date]]-patients[[#This Row],[arrival_date]]</f>
        <v>6</v>
      </c>
      <c r="J769" t="str">
        <f>IF(patients[[#This Row],[age]] &lt; 18,"0-17",IF(patients[[#This Row],[age]] &lt; 40,"18-39",IF(patients[[#This Row],[age]] &lt; 65,"40-64","65+")))</f>
        <v>0-17</v>
      </c>
      <c r="K769" s="1" t="str">
        <f>TEXT(patients[[#This Row],[arrival_date]],"[$-409]mmmm")</f>
        <v>August</v>
      </c>
      <c r="L769" s="1">
        <f>MATCH(K769, {"January";"February";"March";"April";"May";"June";"July";"August";"September";"October";"November";"December"}, 0)</f>
        <v>8</v>
      </c>
      <c r="M769" s="1" t="str" cm="1">
        <f t="array" ref="M769">IF(patients[[#This Row],[length_of_stay]]&gt;patients!$N$2:$N$2,"Over average","Less than average")</f>
        <v>Less than average</v>
      </c>
    </row>
    <row r="770" spans="2:13" x14ac:dyDescent="0.25">
      <c r="B770" s="1" t="s">
        <v>1543</v>
      </c>
      <c r="C770" s="1" t="s">
        <v>1544</v>
      </c>
      <c r="D770">
        <v>57</v>
      </c>
      <c r="E770" s="2">
        <v>45872</v>
      </c>
      <c r="F770" s="2">
        <v>45875</v>
      </c>
      <c r="G770" s="1" t="s">
        <v>17</v>
      </c>
      <c r="H770">
        <v>80</v>
      </c>
      <c r="I770" s="19">
        <f>patients[[#This Row],[departure_date]]-patients[[#This Row],[arrival_date]]</f>
        <v>3</v>
      </c>
      <c r="J770" t="str">
        <f>IF(patients[[#This Row],[age]] &lt; 18,"0-17",IF(patients[[#This Row],[age]] &lt; 40,"18-39",IF(patients[[#This Row],[age]] &lt; 65,"40-64","65+")))</f>
        <v>40-64</v>
      </c>
      <c r="K770" s="1" t="str">
        <f>TEXT(patients[[#This Row],[arrival_date]],"[$-409]mmmm")</f>
        <v>August</v>
      </c>
      <c r="L770" s="1">
        <f>MATCH(K770, {"January";"February";"March";"April";"May";"June";"July";"August";"September";"October";"November";"December"}, 0)</f>
        <v>8</v>
      </c>
      <c r="M770" s="1" t="str" cm="1">
        <f t="array" ref="M770">IF(patients[[#This Row],[length_of_stay]]&gt;patients!$N$2:$N$2,"Over average","Less than average")</f>
        <v>Less than average</v>
      </c>
    </row>
    <row r="771" spans="2:13" x14ac:dyDescent="0.25">
      <c r="B771" s="1" t="s">
        <v>1545</v>
      </c>
      <c r="C771" s="1" t="s">
        <v>1546</v>
      </c>
      <c r="D771">
        <v>63</v>
      </c>
      <c r="E771" s="2">
        <v>45949</v>
      </c>
      <c r="F771" s="2">
        <v>45959</v>
      </c>
      <c r="G771" s="1" t="s">
        <v>9</v>
      </c>
      <c r="H771">
        <v>96</v>
      </c>
      <c r="I771" s="19">
        <f>patients[[#This Row],[departure_date]]-patients[[#This Row],[arrival_date]]</f>
        <v>10</v>
      </c>
      <c r="J771" t="str">
        <f>IF(patients[[#This Row],[age]] &lt; 18,"0-17",IF(patients[[#This Row],[age]] &lt; 40,"18-39",IF(patients[[#This Row],[age]] &lt; 65,"40-64","65+")))</f>
        <v>40-64</v>
      </c>
      <c r="K771" s="1" t="str">
        <f>TEXT(patients[[#This Row],[arrival_date]],"[$-409]mmmm")</f>
        <v>October</v>
      </c>
      <c r="L771" s="1">
        <f>MATCH(K771, {"January";"February";"March";"April";"May";"June";"July";"August";"September";"October";"November";"December"}, 0)</f>
        <v>10</v>
      </c>
      <c r="M771" s="1" t="str" cm="1">
        <f t="array" ref="M771">IF(patients[[#This Row],[length_of_stay]]&gt;patients!$N$2:$N$2,"Over average","Less than average")</f>
        <v>Over average</v>
      </c>
    </row>
    <row r="772" spans="2:13" x14ac:dyDescent="0.25">
      <c r="B772" s="1" t="s">
        <v>1547</v>
      </c>
      <c r="C772" s="1" t="s">
        <v>1548</v>
      </c>
      <c r="D772">
        <v>85</v>
      </c>
      <c r="E772" s="2">
        <v>45989</v>
      </c>
      <c r="F772" s="2">
        <v>45999</v>
      </c>
      <c r="G772" s="1" t="s">
        <v>9</v>
      </c>
      <c r="H772">
        <v>72</v>
      </c>
      <c r="I772" s="19">
        <f>patients[[#This Row],[departure_date]]-patients[[#This Row],[arrival_date]]</f>
        <v>10</v>
      </c>
      <c r="J772" t="str">
        <f>IF(patients[[#This Row],[age]] &lt; 18,"0-17",IF(patients[[#This Row],[age]] &lt; 40,"18-39",IF(patients[[#This Row],[age]] &lt; 65,"40-64","65+")))</f>
        <v>65+</v>
      </c>
      <c r="K772" s="1" t="str">
        <f>TEXT(patients[[#This Row],[arrival_date]],"[$-409]mmmm")</f>
        <v>November</v>
      </c>
      <c r="L772" s="1">
        <f>MATCH(K772, {"January";"February";"March";"April";"May";"June";"July";"August";"September";"October";"November";"December"}, 0)</f>
        <v>11</v>
      </c>
      <c r="M772" s="1" t="str" cm="1">
        <f t="array" ref="M772">IF(patients[[#This Row],[length_of_stay]]&gt;patients!$N$2:$N$2,"Over average","Less than average")</f>
        <v>Over average</v>
      </c>
    </row>
    <row r="773" spans="2:13" x14ac:dyDescent="0.25">
      <c r="B773" s="1" t="s">
        <v>1549</v>
      </c>
      <c r="C773" s="1" t="s">
        <v>1550</v>
      </c>
      <c r="D773">
        <v>10</v>
      </c>
      <c r="E773" s="2">
        <v>45673</v>
      </c>
      <c r="F773" s="2">
        <v>45681</v>
      </c>
      <c r="G773" s="1" t="s">
        <v>9</v>
      </c>
      <c r="H773">
        <v>99</v>
      </c>
      <c r="I773" s="19">
        <f>patients[[#This Row],[departure_date]]-patients[[#This Row],[arrival_date]]</f>
        <v>8</v>
      </c>
      <c r="J773" t="str">
        <f>IF(patients[[#This Row],[age]] &lt; 18,"0-17",IF(patients[[#This Row],[age]] &lt; 40,"18-39",IF(patients[[#This Row],[age]] &lt; 65,"40-64","65+")))</f>
        <v>0-17</v>
      </c>
      <c r="K773" s="1" t="str">
        <f>TEXT(patients[[#This Row],[arrival_date]],"[$-409]mmmm")</f>
        <v>January</v>
      </c>
      <c r="L773" s="1">
        <f>MATCH(K773, {"January";"February";"March";"April";"May";"June";"July";"August";"September";"October";"November";"December"}, 0)</f>
        <v>1</v>
      </c>
      <c r="M773" s="1" t="str" cm="1">
        <f t="array" ref="M773">IF(patients[[#This Row],[length_of_stay]]&gt;patients!$N$2:$N$2,"Over average","Less than average")</f>
        <v>Over average</v>
      </c>
    </row>
    <row r="774" spans="2:13" x14ac:dyDescent="0.25">
      <c r="B774" s="1" t="s">
        <v>1551</v>
      </c>
      <c r="C774" s="1" t="s">
        <v>1552</v>
      </c>
      <c r="D774">
        <v>58</v>
      </c>
      <c r="E774" s="2">
        <v>45697</v>
      </c>
      <c r="F774" s="2">
        <v>45710</v>
      </c>
      <c r="G774" s="1" t="s">
        <v>17</v>
      </c>
      <c r="H774">
        <v>61</v>
      </c>
      <c r="I774" s="19">
        <f>patients[[#This Row],[departure_date]]-patients[[#This Row],[arrival_date]]</f>
        <v>13</v>
      </c>
      <c r="J774" t="str">
        <f>IF(patients[[#This Row],[age]] &lt; 18,"0-17",IF(patients[[#This Row],[age]] &lt; 40,"18-39",IF(patients[[#This Row],[age]] &lt; 65,"40-64","65+")))</f>
        <v>40-64</v>
      </c>
      <c r="K774" s="1" t="str">
        <f>TEXT(patients[[#This Row],[arrival_date]],"[$-409]mmmm")</f>
        <v>February</v>
      </c>
      <c r="L774" s="1">
        <f>MATCH(K774, {"January";"February";"March";"April";"May";"June";"July";"August";"September";"October";"November";"December"}, 0)</f>
        <v>2</v>
      </c>
      <c r="M774" s="1" t="str" cm="1">
        <f t="array" ref="M774">IF(patients[[#This Row],[length_of_stay]]&gt;patients!$N$2:$N$2,"Over average","Less than average")</f>
        <v>Over average</v>
      </c>
    </row>
    <row r="775" spans="2:13" x14ac:dyDescent="0.25">
      <c r="B775" s="1" t="s">
        <v>1553</v>
      </c>
      <c r="C775" s="1" t="s">
        <v>1554</v>
      </c>
      <c r="D775">
        <v>75</v>
      </c>
      <c r="E775" s="2">
        <v>45957</v>
      </c>
      <c r="F775" s="2">
        <v>45968</v>
      </c>
      <c r="G775" s="1" t="s">
        <v>9</v>
      </c>
      <c r="H775">
        <v>74</v>
      </c>
      <c r="I775" s="19">
        <f>patients[[#This Row],[departure_date]]-patients[[#This Row],[arrival_date]]</f>
        <v>11</v>
      </c>
      <c r="J775" t="str">
        <f>IF(patients[[#This Row],[age]] &lt; 18,"0-17",IF(patients[[#This Row],[age]] &lt; 40,"18-39",IF(patients[[#This Row],[age]] &lt; 65,"40-64","65+")))</f>
        <v>65+</v>
      </c>
      <c r="K775" s="1" t="str">
        <f>TEXT(patients[[#This Row],[arrival_date]],"[$-409]mmmm")</f>
        <v>October</v>
      </c>
      <c r="L775" s="1">
        <f>MATCH(K775, {"January";"February";"March";"April";"May";"June";"July";"August";"September";"October";"November";"December"}, 0)</f>
        <v>10</v>
      </c>
      <c r="M775" s="1" t="str" cm="1">
        <f t="array" ref="M775">IF(patients[[#This Row],[length_of_stay]]&gt;patients!$N$2:$N$2,"Over average","Less than average")</f>
        <v>Over average</v>
      </c>
    </row>
    <row r="776" spans="2:13" x14ac:dyDescent="0.25">
      <c r="B776" s="1" t="s">
        <v>1555</v>
      </c>
      <c r="C776" s="1" t="s">
        <v>1556</v>
      </c>
      <c r="D776">
        <v>79</v>
      </c>
      <c r="E776" s="2">
        <v>45875</v>
      </c>
      <c r="F776" s="2">
        <v>45877</v>
      </c>
      <c r="G776" s="1" t="s">
        <v>17</v>
      </c>
      <c r="H776">
        <v>71</v>
      </c>
      <c r="I776" s="19">
        <f>patients[[#This Row],[departure_date]]-patients[[#This Row],[arrival_date]]</f>
        <v>2</v>
      </c>
      <c r="J776" t="str">
        <f>IF(patients[[#This Row],[age]] &lt; 18,"0-17",IF(patients[[#This Row],[age]] &lt; 40,"18-39",IF(patients[[#This Row],[age]] &lt; 65,"40-64","65+")))</f>
        <v>65+</v>
      </c>
      <c r="K776" s="1" t="str">
        <f>TEXT(patients[[#This Row],[arrival_date]],"[$-409]mmmm")</f>
        <v>August</v>
      </c>
      <c r="L776" s="1">
        <f>MATCH(K776, {"January";"February";"March";"April";"May";"June";"July";"August";"September";"October";"November";"December"}, 0)</f>
        <v>8</v>
      </c>
      <c r="M776" s="1" t="str" cm="1">
        <f t="array" ref="M776">IF(patients[[#This Row],[length_of_stay]]&gt;patients!$N$2:$N$2,"Over average","Less than average")</f>
        <v>Less than average</v>
      </c>
    </row>
    <row r="777" spans="2:13" x14ac:dyDescent="0.25">
      <c r="B777" s="1" t="s">
        <v>1557</v>
      </c>
      <c r="C777" s="1" t="s">
        <v>1558</v>
      </c>
      <c r="D777">
        <v>89</v>
      </c>
      <c r="E777" s="2">
        <v>45803</v>
      </c>
      <c r="F777" s="2">
        <v>45817</v>
      </c>
      <c r="G777" s="1" t="s">
        <v>14</v>
      </c>
      <c r="H777">
        <v>91</v>
      </c>
      <c r="I777" s="19">
        <f>patients[[#This Row],[departure_date]]-patients[[#This Row],[arrival_date]]</f>
        <v>14</v>
      </c>
      <c r="J777" t="str">
        <f>IF(patients[[#This Row],[age]] &lt; 18,"0-17",IF(patients[[#This Row],[age]] &lt; 40,"18-39",IF(patients[[#This Row],[age]] &lt; 65,"40-64","65+")))</f>
        <v>65+</v>
      </c>
      <c r="K777" s="1" t="str">
        <f>TEXT(patients[[#This Row],[arrival_date]],"[$-409]mmmm")</f>
        <v>May</v>
      </c>
      <c r="L777" s="1">
        <f>MATCH(K777, {"January";"February";"March";"April";"May";"June";"July";"August";"September";"October";"November";"December"}, 0)</f>
        <v>5</v>
      </c>
      <c r="M777" s="1" t="str" cm="1">
        <f t="array" ref="M777">IF(patients[[#This Row],[length_of_stay]]&gt;patients!$N$2:$N$2,"Over average","Less than average")</f>
        <v>Over average</v>
      </c>
    </row>
    <row r="778" spans="2:13" x14ac:dyDescent="0.25">
      <c r="B778" s="1" t="s">
        <v>1559</v>
      </c>
      <c r="C778" s="1" t="s">
        <v>1560</v>
      </c>
      <c r="D778">
        <v>61</v>
      </c>
      <c r="E778" s="2">
        <v>45896</v>
      </c>
      <c r="F778" s="2">
        <v>45899</v>
      </c>
      <c r="G778" s="1" t="s">
        <v>9</v>
      </c>
      <c r="H778">
        <v>97</v>
      </c>
      <c r="I778" s="19">
        <f>patients[[#This Row],[departure_date]]-patients[[#This Row],[arrival_date]]</f>
        <v>3</v>
      </c>
      <c r="J778" t="str">
        <f>IF(patients[[#This Row],[age]] &lt; 18,"0-17",IF(patients[[#This Row],[age]] &lt; 40,"18-39",IF(patients[[#This Row],[age]] &lt; 65,"40-64","65+")))</f>
        <v>40-64</v>
      </c>
      <c r="K778" s="1" t="str">
        <f>TEXT(patients[[#This Row],[arrival_date]],"[$-409]mmmm")</f>
        <v>August</v>
      </c>
      <c r="L778" s="1">
        <f>MATCH(K778, {"January";"February";"March";"April";"May";"June";"July";"August";"September";"October";"November";"December"}, 0)</f>
        <v>8</v>
      </c>
      <c r="M778" s="1" t="str" cm="1">
        <f t="array" ref="M778">IF(patients[[#This Row],[length_of_stay]]&gt;patients!$N$2:$N$2,"Over average","Less than average")</f>
        <v>Less than average</v>
      </c>
    </row>
    <row r="779" spans="2:13" x14ac:dyDescent="0.25">
      <c r="B779" s="1" t="s">
        <v>1561</v>
      </c>
      <c r="C779" s="1" t="s">
        <v>1562</v>
      </c>
      <c r="D779">
        <v>66</v>
      </c>
      <c r="E779" s="2">
        <v>45718</v>
      </c>
      <c r="F779" s="2">
        <v>45719</v>
      </c>
      <c r="G779" s="1" t="s">
        <v>9</v>
      </c>
      <c r="H779">
        <v>89</v>
      </c>
      <c r="I779" s="19">
        <f>patients[[#This Row],[departure_date]]-patients[[#This Row],[arrival_date]]</f>
        <v>1</v>
      </c>
      <c r="J779" t="str">
        <f>IF(patients[[#This Row],[age]] &lt; 18,"0-17",IF(patients[[#This Row],[age]] &lt; 40,"18-39",IF(patients[[#This Row],[age]] &lt; 65,"40-64","65+")))</f>
        <v>65+</v>
      </c>
      <c r="K779" s="1" t="str">
        <f>TEXT(patients[[#This Row],[arrival_date]],"[$-409]mmmm")</f>
        <v>March</v>
      </c>
      <c r="L779" s="1">
        <f>MATCH(K779, {"January";"February";"March";"April";"May";"June";"July";"August";"September";"October";"November";"December"}, 0)</f>
        <v>3</v>
      </c>
      <c r="M779" s="1" t="str" cm="1">
        <f t="array" ref="M779">IF(patients[[#This Row],[length_of_stay]]&gt;patients!$N$2:$N$2,"Over average","Less than average")</f>
        <v>Less than average</v>
      </c>
    </row>
    <row r="780" spans="2:13" x14ac:dyDescent="0.25">
      <c r="B780" s="1" t="s">
        <v>1563</v>
      </c>
      <c r="C780" s="1" t="s">
        <v>1564</v>
      </c>
      <c r="D780">
        <v>44</v>
      </c>
      <c r="E780" s="2">
        <v>45813</v>
      </c>
      <c r="F780" s="2">
        <v>45818</v>
      </c>
      <c r="G780" s="1" t="s">
        <v>20</v>
      </c>
      <c r="H780">
        <v>72</v>
      </c>
      <c r="I780" s="19">
        <f>patients[[#This Row],[departure_date]]-patients[[#This Row],[arrival_date]]</f>
        <v>5</v>
      </c>
      <c r="J780" t="str">
        <f>IF(patients[[#This Row],[age]] &lt; 18,"0-17",IF(patients[[#This Row],[age]] &lt; 40,"18-39",IF(patients[[#This Row],[age]] &lt; 65,"40-64","65+")))</f>
        <v>40-64</v>
      </c>
      <c r="K780" s="1" t="str">
        <f>TEXT(patients[[#This Row],[arrival_date]],"[$-409]mmmm")</f>
        <v>June</v>
      </c>
      <c r="L780" s="1">
        <f>MATCH(K780, {"January";"February";"March";"April";"May";"June";"July";"August";"September";"October";"November";"December"}, 0)</f>
        <v>6</v>
      </c>
      <c r="M780" s="1" t="str" cm="1">
        <f t="array" ref="M780">IF(patients[[#This Row],[length_of_stay]]&gt;patients!$N$2:$N$2,"Over average","Less than average")</f>
        <v>Less than average</v>
      </c>
    </row>
    <row r="781" spans="2:13" x14ac:dyDescent="0.25">
      <c r="B781" s="1" t="s">
        <v>1565</v>
      </c>
      <c r="C781" s="1" t="s">
        <v>1566</v>
      </c>
      <c r="D781">
        <v>26</v>
      </c>
      <c r="E781" s="2">
        <v>45935</v>
      </c>
      <c r="F781" s="2">
        <v>45945</v>
      </c>
      <c r="G781" s="1" t="s">
        <v>20</v>
      </c>
      <c r="H781">
        <v>98</v>
      </c>
      <c r="I781" s="19">
        <f>patients[[#This Row],[departure_date]]-patients[[#This Row],[arrival_date]]</f>
        <v>10</v>
      </c>
      <c r="J781" t="str">
        <f>IF(patients[[#This Row],[age]] &lt; 18,"0-17",IF(patients[[#This Row],[age]] &lt; 40,"18-39",IF(patients[[#This Row],[age]] &lt; 65,"40-64","65+")))</f>
        <v>18-39</v>
      </c>
      <c r="K781" s="1" t="str">
        <f>TEXT(patients[[#This Row],[arrival_date]],"[$-409]mmmm")</f>
        <v>October</v>
      </c>
      <c r="L781" s="1">
        <f>MATCH(K781, {"January";"February";"March";"April";"May";"June";"July";"August";"September";"October";"November";"December"}, 0)</f>
        <v>10</v>
      </c>
      <c r="M781" s="1" t="str" cm="1">
        <f t="array" ref="M781">IF(patients[[#This Row],[length_of_stay]]&gt;patients!$N$2:$N$2,"Over average","Less than average")</f>
        <v>Over average</v>
      </c>
    </row>
    <row r="782" spans="2:13" x14ac:dyDescent="0.25">
      <c r="B782" s="1" t="s">
        <v>1567</v>
      </c>
      <c r="C782" s="1" t="s">
        <v>1568</v>
      </c>
      <c r="D782">
        <v>52</v>
      </c>
      <c r="E782" s="2">
        <v>45864</v>
      </c>
      <c r="F782" s="2">
        <v>45868</v>
      </c>
      <c r="G782" s="1" t="s">
        <v>14</v>
      </c>
      <c r="H782">
        <v>91</v>
      </c>
      <c r="I782" s="19">
        <f>patients[[#This Row],[departure_date]]-patients[[#This Row],[arrival_date]]</f>
        <v>4</v>
      </c>
      <c r="J782" t="str">
        <f>IF(patients[[#This Row],[age]] &lt; 18,"0-17",IF(patients[[#This Row],[age]] &lt; 40,"18-39",IF(patients[[#This Row],[age]] &lt; 65,"40-64","65+")))</f>
        <v>40-64</v>
      </c>
      <c r="K782" s="1" t="str">
        <f>TEXT(patients[[#This Row],[arrival_date]],"[$-409]mmmm")</f>
        <v>July</v>
      </c>
      <c r="L782" s="1">
        <f>MATCH(K782, {"January";"February";"March";"April";"May";"June";"July";"August";"September";"October";"November";"December"}, 0)</f>
        <v>7</v>
      </c>
      <c r="M782" s="1" t="str" cm="1">
        <f t="array" ref="M782">IF(patients[[#This Row],[length_of_stay]]&gt;patients!$N$2:$N$2,"Over average","Less than average")</f>
        <v>Less than average</v>
      </c>
    </row>
    <row r="783" spans="2:13" x14ac:dyDescent="0.25">
      <c r="B783" s="1" t="s">
        <v>1569</v>
      </c>
      <c r="C783" s="1" t="s">
        <v>1570</v>
      </c>
      <c r="D783">
        <v>22</v>
      </c>
      <c r="E783" s="2">
        <v>45983</v>
      </c>
      <c r="F783" s="2">
        <v>45991</v>
      </c>
      <c r="G783" s="1" t="s">
        <v>14</v>
      </c>
      <c r="H783">
        <v>79</v>
      </c>
      <c r="I783" s="19">
        <f>patients[[#This Row],[departure_date]]-patients[[#This Row],[arrival_date]]</f>
        <v>8</v>
      </c>
      <c r="J783" t="str">
        <f>IF(patients[[#This Row],[age]] &lt; 18,"0-17",IF(patients[[#This Row],[age]] &lt; 40,"18-39",IF(patients[[#This Row],[age]] &lt; 65,"40-64","65+")))</f>
        <v>18-39</v>
      </c>
      <c r="K783" s="1" t="str">
        <f>TEXT(patients[[#This Row],[arrival_date]],"[$-409]mmmm")</f>
        <v>November</v>
      </c>
      <c r="L783" s="1">
        <f>MATCH(K783, {"January";"February";"March";"April";"May";"June";"July";"August";"September";"October";"November";"December"}, 0)</f>
        <v>11</v>
      </c>
      <c r="M783" s="1" t="str" cm="1">
        <f t="array" ref="M783">IF(patients[[#This Row],[length_of_stay]]&gt;patients!$N$2:$N$2,"Over average","Less than average")</f>
        <v>Over average</v>
      </c>
    </row>
    <row r="784" spans="2:13" x14ac:dyDescent="0.25">
      <c r="B784" s="1" t="s">
        <v>1571</v>
      </c>
      <c r="C784" s="1" t="s">
        <v>1572</v>
      </c>
      <c r="D784">
        <v>83</v>
      </c>
      <c r="E784" s="2">
        <v>45818</v>
      </c>
      <c r="F784" s="2">
        <v>45830</v>
      </c>
      <c r="G784" s="1" t="s">
        <v>20</v>
      </c>
      <c r="H784">
        <v>67</v>
      </c>
      <c r="I784" s="19">
        <f>patients[[#This Row],[departure_date]]-patients[[#This Row],[arrival_date]]</f>
        <v>12</v>
      </c>
      <c r="J784" t="str">
        <f>IF(patients[[#This Row],[age]] &lt; 18,"0-17",IF(patients[[#This Row],[age]] &lt; 40,"18-39",IF(patients[[#This Row],[age]] &lt; 65,"40-64","65+")))</f>
        <v>65+</v>
      </c>
      <c r="K784" s="1" t="str">
        <f>TEXT(patients[[#This Row],[arrival_date]],"[$-409]mmmm")</f>
        <v>June</v>
      </c>
      <c r="L784" s="1">
        <f>MATCH(K784, {"January";"February";"March";"April";"May";"June";"July";"August";"September";"October";"November";"December"}, 0)</f>
        <v>6</v>
      </c>
      <c r="M784" s="1" t="str" cm="1">
        <f t="array" ref="M784">IF(patients[[#This Row],[length_of_stay]]&gt;patients!$N$2:$N$2,"Over average","Less than average")</f>
        <v>Over average</v>
      </c>
    </row>
    <row r="785" spans="2:13" x14ac:dyDescent="0.25">
      <c r="B785" s="1" t="s">
        <v>1573</v>
      </c>
      <c r="C785" s="1" t="s">
        <v>1574</v>
      </c>
      <c r="D785">
        <v>0</v>
      </c>
      <c r="E785" s="2">
        <v>45720</v>
      </c>
      <c r="F785" s="2">
        <v>45726</v>
      </c>
      <c r="G785" s="1" t="s">
        <v>17</v>
      </c>
      <c r="H785">
        <v>65</v>
      </c>
      <c r="I785" s="19">
        <f>patients[[#This Row],[departure_date]]-patients[[#This Row],[arrival_date]]</f>
        <v>6</v>
      </c>
      <c r="J785" t="str">
        <f>IF(patients[[#This Row],[age]] &lt; 18,"0-17",IF(patients[[#This Row],[age]] &lt; 40,"18-39",IF(patients[[#This Row],[age]] &lt; 65,"40-64","65+")))</f>
        <v>0-17</v>
      </c>
      <c r="K785" s="1" t="str">
        <f>TEXT(patients[[#This Row],[arrival_date]],"[$-409]mmmm")</f>
        <v>March</v>
      </c>
      <c r="L785" s="1">
        <f>MATCH(K785, {"January";"February";"March";"April";"May";"June";"July";"August";"September";"October";"November";"December"}, 0)</f>
        <v>3</v>
      </c>
      <c r="M785" s="1" t="str" cm="1">
        <f t="array" ref="M785">IF(patients[[#This Row],[length_of_stay]]&gt;patients!$N$2:$N$2,"Over average","Less than average")</f>
        <v>Less than average</v>
      </c>
    </row>
    <row r="786" spans="2:13" x14ac:dyDescent="0.25">
      <c r="B786" s="1" t="s">
        <v>1575</v>
      </c>
      <c r="C786" s="1" t="s">
        <v>1576</v>
      </c>
      <c r="D786">
        <v>20</v>
      </c>
      <c r="E786" s="2">
        <v>45820</v>
      </c>
      <c r="F786" s="2">
        <v>45825</v>
      </c>
      <c r="G786" s="1" t="s">
        <v>20</v>
      </c>
      <c r="H786">
        <v>65</v>
      </c>
      <c r="I786" s="19">
        <f>patients[[#This Row],[departure_date]]-patients[[#This Row],[arrival_date]]</f>
        <v>5</v>
      </c>
      <c r="J786" t="str">
        <f>IF(patients[[#This Row],[age]] &lt; 18,"0-17",IF(patients[[#This Row],[age]] &lt; 40,"18-39",IF(patients[[#This Row],[age]] &lt; 65,"40-64","65+")))</f>
        <v>18-39</v>
      </c>
      <c r="K786" s="1" t="str">
        <f>TEXT(patients[[#This Row],[arrival_date]],"[$-409]mmmm")</f>
        <v>June</v>
      </c>
      <c r="L786" s="1">
        <f>MATCH(K786, {"January";"February";"March";"April";"May";"June";"July";"August";"September";"October";"November";"December"}, 0)</f>
        <v>6</v>
      </c>
      <c r="M786" s="1" t="str" cm="1">
        <f t="array" ref="M786">IF(patients[[#This Row],[length_of_stay]]&gt;patients!$N$2:$N$2,"Over average","Less than average")</f>
        <v>Less than average</v>
      </c>
    </row>
    <row r="787" spans="2:13" x14ac:dyDescent="0.25">
      <c r="B787" s="1" t="s">
        <v>1577</v>
      </c>
      <c r="C787" s="1" t="s">
        <v>1578</v>
      </c>
      <c r="D787">
        <v>88</v>
      </c>
      <c r="E787" s="2">
        <v>45844</v>
      </c>
      <c r="F787" s="2">
        <v>45852</v>
      </c>
      <c r="G787" s="1" t="s">
        <v>20</v>
      </c>
      <c r="H787">
        <v>99</v>
      </c>
      <c r="I787" s="19">
        <f>patients[[#This Row],[departure_date]]-patients[[#This Row],[arrival_date]]</f>
        <v>8</v>
      </c>
      <c r="J787" t="str">
        <f>IF(patients[[#This Row],[age]] &lt; 18,"0-17",IF(patients[[#This Row],[age]] &lt; 40,"18-39",IF(patients[[#This Row],[age]] &lt; 65,"40-64","65+")))</f>
        <v>65+</v>
      </c>
      <c r="K787" s="1" t="str">
        <f>TEXT(patients[[#This Row],[arrival_date]],"[$-409]mmmm")</f>
        <v>July</v>
      </c>
      <c r="L787" s="1">
        <f>MATCH(K787, {"January";"February";"March";"April";"May";"June";"July";"August";"September";"October";"November";"December"}, 0)</f>
        <v>7</v>
      </c>
      <c r="M787" s="1" t="str" cm="1">
        <f t="array" ref="M787">IF(patients[[#This Row],[length_of_stay]]&gt;patients!$N$2:$N$2,"Over average","Less than average")</f>
        <v>Over average</v>
      </c>
    </row>
    <row r="788" spans="2:13" x14ac:dyDescent="0.25">
      <c r="B788" s="1" t="s">
        <v>1579</v>
      </c>
      <c r="C788" s="1" t="s">
        <v>1580</v>
      </c>
      <c r="D788">
        <v>28</v>
      </c>
      <c r="E788" s="2">
        <v>45761</v>
      </c>
      <c r="F788" s="2">
        <v>45774</v>
      </c>
      <c r="G788" s="1" t="s">
        <v>14</v>
      </c>
      <c r="H788">
        <v>97</v>
      </c>
      <c r="I788" s="19">
        <f>patients[[#This Row],[departure_date]]-patients[[#This Row],[arrival_date]]</f>
        <v>13</v>
      </c>
      <c r="J788" t="str">
        <f>IF(patients[[#This Row],[age]] &lt; 18,"0-17",IF(patients[[#This Row],[age]] &lt; 40,"18-39",IF(patients[[#This Row],[age]] &lt; 65,"40-64","65+")))</f>
        <v>18-39</v>
      </c>
      <c r="K788" s="1" t="str">
        <f>TEXT(patients[[#This Row],[arrival_date]],"[$-409]mmmm")</f>
        <v>April</v>
      </c>
      <c r="L788" s="1">
        <f>MATCH(K788, {"January";"February";"March";"April";"May";"June";"July";"August";"September";"October";"November";"December"}, 0)</f>
        <v>4</v>
      </c>
      <c r="M788" s="1" t="str" cm="1">
        <f t="array" ref="M788">IF(patients[[#This Row],[length_of_stay]]&gt;patients!$N$2:$N$2,"Over average","Less than average")</f>
        <v>Over average</v>
      </c>
    </row>
    <row r="789" spans="2:13" x14ac:dyDescent="0.25">
      <c r="B789" s="1" t="s">
        <v>1581</v>
      </c>
      <c r="C789" s="1" t="s">
        <v>1582</v>
      </c>
      <c r="D789">
        <v>17</v>
      </c>
      <c r="E789" s="2">
        <v>45921</v>
      </c>
      <c r="F789" s="2">
        <v>45932</v>
      </c>
      <c r="G789" s="1" t="s">
        <v>9</v>
      </c>
      <c r="H789">
        <v>92</v>
      </c>
      <c r="I789" s="19">
        <f>patients[[#This Row],[departure_date]]-patients[[#This Row],[arrival_date]]</f>
        <v>11</v>
      </c>
      <c r="J789" t="str">
        <f>IF(patients[[#This Row],[age]] &lt; 18,"0-17",IF(patients[[#This Row],[age]] &lt; 40,"18-39",IF(patients[[#This Row],[age]] &lt; 65,"40-64","65+")))</f>
        <v>0-17</v>
      </c>
      <c r="K789" s="1" t="str">
        <f>TEXT(patients[[#This Row],[arrival_date]],"[$-409]mmmm")</f>
        <v>September</v>
      </c>
      <c r="L789" s="1">
        <f>MATCH(K789, {"January";"February";"March";"April";"May";"June";"July";"August";"September";"October";"November";"December"}, 0)</f>
        <v>9</v>
      </c>
      <c r="M789" s="1" t="str" cm="1">
        <f t="array" ref="M789">IF(patients[[#This Row],[length_of_stay]]&gt;patients!$N$2:$N$2,"Over average","Less than average")</f>
        <v>Over average</v>
      </c>
    </row>
    <row r="790" spans="2:13" x14ac:dyDescent="0.25">
      <c r="B790" s="1" t="s">
        <v>1583</v>
      </c>
      <c r="C790" s="1" t="s">
        <v>1584</v>
      </c>
      <c r="D790">
        <v>53</v>
      </c>
      <c r="E790" s="2">
        <v>45913</v>
      </c>
      <c r="F790" s="2">
        <v>45919</v>
      </c>
      <c r="G790" s="1" t="s">
        <v>17</v>
      </c>
      <c r="H790">
        <v>86</v>
      </c>
      <c r="I790" s="19">
        <f>patients[[#This Row],[departure_date]]-patients[[#This Row],[arrival_date]]</f>
        <v>6</v>
      </c>
      <c r="J790" t="str">
        <f>IF(patients[[#This Row],[age]] &lt; 18,"0-17",IF(patients[[#This Row],[age]] &lt; 40,"18-39",IF(patients[[#This Row],[age]] &lt; 65,"40-64","65+")))</f>
        <v>40-64</v>
      </c>
      <c r="K790" s="1" t="str">
        <f>TEXT(patients[[#This Row],[arrival_date]],"[$-409]mmmm")</f>
        <v>September</v>
      </c>
      <c r="L790" s="1">
        <f>MATCH(K790, {"January";"February";"March";"April";"May";"June";"July";"August";"September";"October";"November";"December"}, 0)</f>
        <v>9</v>
      </c>
      <c r="M790" s="1" t="str" cm="1">
        <f t="array" ref="M790">IF(patients[[#This Row],[length_of_stay]]&gt;patients!$N$2:$N$2,"Over average","Less than average")</f>
        <v>Less than average</v>
      </c>
    </row>
    <row r="791" spans="2:13" x14ac:dyDescent="0.25">
      <c r="B791" s="1" t="s">
        <v>1585</v>
      </c>
      <c r="C791" s="1" t="s">
        <v>1586</v>
      </c>
      <c r="D791">
        <v>19</v>
      </c>
      <c r="E791" s="2">
        <v>45956</v>
      </c>
      <c r="F791" s="2">
        <v>45969</v>
      </c>
      <c r="G791" s="1" t="s">
        <v>20</v>
      </c>
      <c r="H791">
        <v>90</v>
      </c>
      <c r="I791" s="19">
        <f>patients[[#This Row],[departure_date]]-patients[[#This Row],[arrival_date]]</f>
        <v>13</v>
      </c>
      <c r="J791" t="str">
        <f>IF(patients[[#This Row],[age]] &lt; 18,"0-17",IF(patients[[#This Row],[age]] &lt; 40,"18-39",IF(patients[[#This Row],[age]] &lt; 65,"40-64","65+")))</f>
        <v>18-39</v>
      </c>
      <c r="K791" s="1" t="str">
        <f>TEXT(patients[[#This Row],[arrival_date]],"[$-409]mmmm")</f>
        <v>October</v>
      </c>
      <c r="L791" s="1">
        <f>MATCH(K791, {"January";"February";"March";"April";"May";"June";"July";"August";"September";"October";"November";"December"}, 0)</f>
        <v>10</v>
      </c>
      <c r="M791" s="1" t="str" cm="1">
        <f t="array" ref="M791">IF(patients[[#This Row],[length_of_stay]]&gt;patients!$N$2:$N$2,"Over average","Less than average")</f>
        <v>Over average</v>
      </c>
    </row>
    <row r="792" spans="2:13" x14ac:dyDescent="0.25">
      <c r="B792" s="1" t="s">
        <v>1587</v>
      </c>
      <c r="C792" s="1" t="s">
        <v>1588</v>
      </c>
      <c r="D792">
        <v>60</v>
      </c>
      <c r="E792" s="2">
        <v>46022</v>
      </c>
      <c r="F792" s="2">
        <v>46033</v>
      </c>
      <c r="G792" s="1" t="s">
        <v>9</v>
      </c>
      <c r="H792">
        <v>94</v>
      </c>
      <c r="I792" s="19">
        <f>patients[[#This Row],[departure_date]]-patients[[#This Row],[arrival_date]]</f>
        <v>11</v>
      </c>
      <c r="J792" t="str">
        <f>IF(patients[[#This Row],[age]] &lt; 18,"0-17",IF(patients[[#This Row],[age]] &lt; 40,"18-39",IF(patients[[#This Row],[age]] &lt; 65,"40-64","65+")))</f>
        <v>40-64</v>
      </c>
      <c r="K792" s="1" t="str">
        <f>TEXT(patients[[#This Row],[arrival_date]],"[$-409]mmmm")</f>
        <v>December</v>
      </c>
      <c r="L792" s="1">
        <f>MATCH(K792, {"January";"February";"March";"April";"May";"June";"July";"August";"September";"October";"November";"December"}, 0)</f>
        <v>12</v>
      </c>
      <c r="M792" s="1" t="str" cm="1">
        <f t="array" ref="M792">IF(patients[[#This Row],[length_of_stay]]&gt;patients!$N$2:$N$2,"Over average","Less than average")</f>
        <v>Over average</v>
      </c>
    </row>
    <row r="793" spans="2:13" x14ac:dyDescent="0.25">
      <c r="B793" s="1" t="s">
        <v>1589</v>
      </c>
      <c r="C793" s="1" t="s">
        <v>1590</v>
      </c>
      <c r="D793">
        <v>14</v>
      </c>
      <c r="E793" s="2">
        <v>45910</v>
      </c>
      <c r="F793" s="2">
        <v>45923</v>
      </c>
      <c r="G793" s="1" t="s">
        <v>20</v>
      </c>
      <c r="H793">
        <v>94</v>
      </c>
      <c r="I793" s="19">
        <f>patients[[#This Row],[departure_date]]-patients[[#This Row],[arrival_date]]</f>
        <v>13</v>
      </c>
      <c r="J793" t="str">
        <f>IF(patients[[#This Row],[age]] &lt; 18,"0-17",IF(patients[[#This Row],[age]] &lt; 40,"18-39",IF(patients[[#This Row],[age]] &lt; 65,"40-64","65+")))</f>
        <v>0-17</v>
      </c>
      <c r="K793" s="1" t="str">
        <f>TEXT(patients[[#This Row],[arrival_date]],"[$-409]mmmm")</f>
        <v>September</v>
      </c>
      <c r="L793" s="1">
        <f>MATCH(K793, {"January";"February";"March";"April";"May";"June";"July";"August";"September";"October";"November";"December"}, 0)</f>
        <v>9</v>
      </c>
      <c r="M793" s="1" t="str" cm="1">
        <f t="array" ref="M793">IF(patients[[#This Row],[length_of_stay]]&gt;patients!$N$2:$N$2,"Over average","Less than average")</f>
        <v>Over average</v>
      </c>
    </row>
    <row r="794" spans="2:13" x14ac:dyDescent="0.25">
      <c r="B794" s="1" t="s">
        <v>1591</v>
      </c>
      <c r="C794" s="1" t="s">
        <v>1592</v>
      </c>
      <c r="D794">
        <v>74</v>
      </c>
      <c r="E794" s="2">
        <v>45961</v>
      </c>
      <c r="F794" s="2">
        <v>45966</v>
      </c>
      <c r="G794" s="1" t="s">
        <v>14</v>
      </c>
      <c r="H794">
        <v>94</v>
      </c>
      <c r="I794" s="19">
        <f>patients[[#This Row],[departure_date]]-patients[[#This Row],[arrival_date]]</f>
        <v>5</v>
      </c>
      <c r="J794" t="str">
        <f>IF(patients[[#This Row],[age]] &lt; 18,"0-17",IF(patients[[#This Row],[age]] &lt; 40,"18-39",IF(patients[[#This Row],[age]] &lt; 65,"40-64","65+")))</f>
        <v>65+</v>
      </c>
      <c r="K794" s="1" t="str">
        <f>TEXT(patients[[#This Row],[arrival_date]],"[$-409]mmmm")</f>
        <v>October</v>
      </c>
      <c r="L794" s="1">
        <f>MATCH(K794, {"January";"February";"March";"April";"May";"June";"July";"August";"September";"October";"November";"December"}, 0)</f>
        <v>10</v>
      </c>
      <c r="M794" s="1" t="str" cm="1">
        <f t="array" ref="M794">IF(patients[[#This Row],[length_of_stay]]&gt;patients!$N$2:$N$2,"Over average","Less than average")</f>
        <v>Less than average</v>
      </c>
    </row>
    <row r="795" spans="2:13" x14ac:dyDescent="0.25">
      <c r="B795" s="1" t="s">
        <v>1593</v>
      </c>
      <c r="C795" s="1" t="s">
        <v>1594</v>
      </c>
      <c r="D795">
        <v>85</v>
      </c>
      <c r="E795" s="2">
        <v>45771</v>
      </c>
      <c r="F795" s="2">
        <v>45772</v>
      </c>
      <c r="G795" s="1" t="s">
        <v>9</v>
      </c>
      <c r="H795">
        <v>91</v>
      </c>
      <c r="I795" s="19">
        <f>patients[[#This Row],[departure_date]]-patients[[#This Row],[arrival_date]]</f>
        <v>1</v>
      </c>
      <c r="J795" t="str">
        <f>IF(patients[[#This Row],[age]] &lt; 18,"0-17",IF(patients[[#This Row],[age]] &lt; 40,"18-39",IF(patients[[#This Row],[age]] &lt; 65,"40-64","65+")))</f>
        <v>65+</v>
      </c>
      <c r="K795" s="1" t="str">
        <f>TEXT(patients[[#This Row],[arrival_date]],"[$-409]mmmm")</f>
        <v>April</v>
      </c>
      <c r="L795" s="1">
        <f>MATCH(K795, {"January";"February";"March";"April";"May";"June";"July";"August";"September";"October";"November";"December"}, 0)</f>
        <v>4</v>
      </c>
      <c r="M795" s="1" t="str" cm="1">
        <f t="array" ref="M795">IF(patients[[#This Row],[length_of_stay]]&gt;patients!$N$2:$N$2,"Over average","Less than average")</f>
        <v>Less than average</v>
      </c>
    </row>
    <row r="796" spans="2:13" x14ac:dyDescent="0.25">
      <c r="B796" s="1" t="s">
        <v>1595</v>
      </c>
      <c r="C796" s="1" t="s">
        <v>1596</v>
      </c>
      <c r="D796">
        <v>31</v>
      </c>
      <c r="E796" s="2">
        <v>45864</v>
      </c>
      <c r="F796" s="2">
        <v>45875</v>
      </c>
      <c r="G796" s="1" t="s">
        <v>14</v>
      </c>
      <c r="H796">
        <v>94</v>
      </c>
      <c r="I796" s="19">
        <f>patients[[#This Row],[departure_date]]-patients[[#This Row],[arrival_date]]</f>
        <v>11</v>
      </c>
      <c r="J796" t="str">
        <f>IF(patients[[#This Row],[age]] &lt; 18,"0-17",IF(patients[[#This Row],[age]] &lt; 40,"18-39",IF(patients[[#This Row],[age]] &lt; 65,"40-64","65+")))</f>
        <v>18-39</v>
      </c>
      <c r="K796" s="1" t="str">
        <f>TEXT(patients[[#This Row],[arrival_date]],"[$-409]mmmm")</f>
        <v>July</v>
      </c>
      <c r="L796" s="1">
        <f>MATCH(K796, {"January";"February";"March";"April";"May";"June";"July";"August";"September";"October";"November";"December"}, 0)</f>
        <v>7</v>
      </c>
      <c r="M796" s="1" t="str" cm="1">
        <f t="array" ref="M796">IF(patients[[#This Row],[length_of_stay]]&gt;patients!$N$2:$N$2,"Over average","Less than average")</f>
        <v>Over average</v>
      </c>
    </row>
    <row r="797" spans="2:13" x14ac:dyDescent="0.25">
      <c r="B797" s="1" t="s">
        <v>1597</v>
      </c>
      <c r="C797" s="1" t="s">
        <v>1598</v>
      </c>
      <c r="D797">
        <v>2</v>
      </c>
      <c r="E797" s="2">
        <v>45854</v>
      </c>
      <c r="F797" s="2">
        <v>45859</v>
      </c>
      <c r="G797" s="1" t="s">
        <v>20</v>
      </c>
      <c r="H797">
        <v>69</v>
      </c>
      <c r="I797" s="19">
        <f>patients[[#This Row],[departure_date]]-patients[[#This Row],[arrival_date]]</f>
        <v>5</v>
      </c>
      <c r="J797" t="str">
        <f>IF(patients[[#This Row],[age]] &lt; 18,"0-17",IF(patients[[#This Row],[age]] &lt; 40,"18-39",IF(patients[[#This Row],[age]] &lt; 65,"40-64","65+")))</f>
        <v>0-17</v>
      </c>
      <c r="K797" s="1" t="str">
        <f>TEXT(patients[[#This Row],[arrival_date]],"[$-409]mmmm")</f>
        <v>July</v>
      </c>
      <c r="L797" s="1">
        <f>MATCH(K797, {"January";"February";"March";"April";"May";"June";"July";"August";"September";"October";"November";"December"}, 0)</f>
        <v>7</v>
      </c>
      <c r="M797" s="1" t="str" cm="1">
        <f t="array" ref="M797">IF(patients[[#This Row],[length_of_stay]]&gt;patients!$N$2:$N$2,"Over average","Less than average")</f>
        <v>Less than average</v>
      </c>
    </row>
    <row r="798" spans="2:13" x14ac:dyDescent="0.25">
      <c r="B798" s="1" t="s">
        <v>1599</v>
      </c>
      <c r="C798" s="1" t="s">
        <v>1600</v>
      </c>
      <c r="D798">
        <v>82</v>
      </c>
      <c r="E798" s="2">
        <v>45725</v>
      </c>
      <c r="F798" s="2">
        <v>45738</v>
      </c>
      <c r="G798" s="1" t="s">
        <v>17</v>
      </c>
      <c r="H798">
        <v>88</v>
      </c>
      <c r="I798" s="19">
        <f>patients[[#This Row],[departure_date]]-patients[[#This Row],[arrival_date]]</f>
        <v>13</v>
      </c>
      <c r="J798" t="str">
        <f>IF(patients[[#This Row],[age]] &lt; 18,"0-17",IF(patients[[#This Row],[age]] &lt; 40,"18-39",IF(patients[[#This Row],[age]] &lt; 65,"40-64","65+")))</f>
        <v>65+</v>
      </c>
      <c r="K798" s="1" t="str">
        <f>TEXT(patients[[#This Row],[arrival_date]],"[$-409]mmmm")</f>
        <v>March</v>
      </c>
      <c r="L798" s="1">
        <f>MATCH(K798, {"January";"February";"March";"April";"May";"June";"July";"August";"September";"October";"November";"December"}, 0)</f>
        <v>3</v>
      </c>
      <c r="M798" s="1" t="str" cm="1">
        <f t="array" ref="M798">IF(patients[[#This Row],[length_of_stay]]&gt;patients!$N$2:$N$2,"Over average","Less than average")</f>
        <v>Over average</v>
      </c>
    </row>
    <row r="799" spans="2:13" x14ac:dyDescent="0.25">
      <c r="B799" s="1" t="s">
        <v>1601</v>
      </c>
      <c r="C799" s="1" t="s">
        <v>1602</v>
      </c>
      <c r="D799">
        <v>18</v>
      </c>
      <c r="E799" s="2">
        <v>45731</v>
      </c>
      <c r="F799" s="2">
        <v>45744</v>
      </c>
      <c r="G799" s="1" t="s">
        <v>14</v>
      </c>
      <c r="H799">
        <v>84</v>
      </c>
      <c r="I799" s="19">
        <f>patients[[#This Row],[departure_date]]-patients[[#This Row],[arrival_date]]</f>
        <v>13</v>
      </c>
      <c r="J799" t="str">
        <f>IF(patients[[#This Row],[age]] &lt; 18,"0-17",IF(patients[[#This Row],[age]] &lt; 40,"18-39",IF(patients[[#This Row],[age]] &lt; 65,"40-64","65+")))</f>
        <v>18-39</v>
      </c>
      <c r="K799" s="1" t="str">
        <f>TEXT(patients[[#This Row],[arrival_date]],"[$-409]mmmm")</f>
        <v>March</v>
      </c>
      <c r="L799" s="1">
        <f>MATCH(K799, {"January";"February";"March";"April";"May";"June";"July";"August";"September";"October";"November";"December"}, 0)</f>
        <v>3</v>
      </c>
      <c r="M799" s="1" t="str" cm="1">
        <f t="array" ref="M799">IF(patients[[#This Row],[length_of_stay]]&gt;patients!$N$2:$N$2,"Over average","Less than average")</f>
        <v>Over average</v>
      </c>
    </row>
    <row r="800" spans="2:13" x14ac:dyDescent="0.25">
      <c r="B800" s="1" t="s">
        <v>1603</v>
      </c>
      <c r="C800" s="1" t="s">
        <v>1604</v>
      </c>
      <c r="D800">
        <v>19</v>
      </c>
      <c r="E800" s="2">
        <v>45868</v>
      </c>
      <c r="F800" s="2">
        <v>45875</v>
      </c>
      <c r="G800" s="1" t="s">
        <v>20</v>
      </c>
      <c r="H800">
        <v>83</v>
      </c>
      <c r="I800" s="19">
        <f>patients[[#This Row],[departure_date]]-patients[[#This Row],[arrival_date]]</f>
        <v>7</v>
      </c>
      <c r="J800" t="str">
        <f>IF(patients[[#This Row],[age]] &lt; 18,"0-17",IF(patients[[#This Row],[age]] &lt; 40,"18-39",IF(patients[[#This Row],[age]] &lt; 65,"40-64","65+")))</f>
        <v>18-39</v>
      </c>
      <c r="K800" s="1" t="str">
        <f>TEXT(patients[[#This Row],[arrival_date]],"[$-409]mmmm")</f>
        <v>July</v>
      </c>
      <c r="L800" s="1">
        <f>MATCH(K800, {"January";"February";"March";"April";"May";"June";"July";"August";"September";"October";"November";"December"}, 0)</f>
        <v>7</v>
      </c>
      <c r="M800" s="1" t="str" cm="1">
        <f t="array" ref="M800">IF(patients[[#This Row],[length_of_stay]]&gt;patients!$N$2:$N$2,"Over average","Less than average")</f>
        <v>Less than average</v>
      </c>
    </row>
    <row r="801" spans="2:13" x14ac:dyDescent="0.25">
      <c r="B801" s="1" t="s">
        <v>1605</v>
      </c>
      <c r="C801" s="1" t="s">
        <v>1606</v>
      </c>
      <c r="D801">
        <v>10</v>
      </c>
      <c r="E801" s="2">
        <v>45840</v>
      </c>
      <c r="F801" s="2">
        <v>45852</v>
      </c>
      <c r="G801" s="1" t="s">
        <v>9</v>
      </c>
      <c r="H801">
        <v>64</v>
      </c>
      <c r="I801" s="19">
        <f>patients[[#This Row],[departure_date]]-patients[[#This Row],[arrival_date]]</f>
        <v>12</v>
      </c>
      <c r="J801" t="str">
        <f>IF(patients[[#This Row],[age]] &lt; 18,"0-17",IF(patients[[#This Row],[age]] &lt; 40,"18-39",IF(patients[[#This Row],[age]] &lt; 65,"40-64","65+")))</f>
        <v>0-17</v>
      </c>
      <c r="K801" s="1" t="str">
        <f>TEXT(patients[[#This Row],[arrival_date]],"[$-409]mmmm")</f>
        <v>July</v>
      </c>
      <c r="L801" s="1">
        <f>MATCH(K801, {"January";"February";"March";"April";"May";"June";"July";"August";"September";"October";"November";"December"}, 0)</f>
        <v>7</v>
      </c>
      <c r="M801" s="1" t="str" cm="1">
        <f t="array" ref="M801">IF(patients[[#This Row],[length_of_stay]]&gt;patients!$N$2:$N$2,"Over average","Less than average")</f>
        <v>Over average</v>
      </c>
    </row>
    <row r="802" spans="2:13" x14ac:dyDescent="0.25">
      <c r="B802" s="1" t="s">
        <v>1607</v>
      </c>
      <c r="C802" s="1" t="s">
        <v>1608</v>
      </c>
      <c r="D802">
        <v>62</v>
      </c>
      <c r="E802" s="2">
        <v>45708</v>
      </c>
      <c r="F802" s="2">
        <v>45713</v>
      </c>
      <c r="G802" s="1" t="s">
        <v>14</v>
      </c>
      <c r="H802">
        <v>71</v>
      </c>
      <c r="I802" s="19">
        <f>patients[[#This Row],[departure_date]]-patients[[#This Row],[arrival_date]]</f>
        <v>5</v>
      </c>
      <c r="J802" t="str">
        <f>IF(patients[[#This Row],[age]] &lt; 18,"0-17",IF(patients[[#This Row],[age]] &lt; 40,"18-39",IF(patients[[#This Row],[age]] &lt; 65,"40-64","65+")))</f>
        <v>40-64</v>
      </c>
      <c r="K802" s="1" t="str">
        <f>TEXT(patients[[#This Row],[arrival_date]],"[$-409]mmmm")</f>
        <v>February</v>
      </c>
      <c r="L802" s="1">
        <f>MATCH(K802, {"January";"February";"March";"April";"May";"June";"July";"August";"September";"October";"November";"December"}, 0)</f>
        <v>2</v>
      </c>
      <c r="M802" s="1" t="str" cm="1">
        <f t="array" ref="M802">IF(patients[[#This Row],[length_of_stay]]&gt;patients!$N$2:$N$2,"Over average","Less than average")</f>
        <v>Less than average</v>
      </c>
    </row>
    <row r="803" spans="2:13" x14ac:dyDescent="0.25">
      <c r="B803" s="1" t="s">
        <v>1609</v>
      </c>
      <c r="C803" s="1" t="s">
        <v>1610</v>
      </c>
      <c r="D803">
        <v>49</v>
      </c>
      <c r="E803" s="2">
        <v>45903</v>
      </c>
      <c r="F803" s="2">
        <v>45904</v>
      </c>
      <c r="G803" s="1" t="s">
        <v>20</v>
      </c>
      <c r="H803">
        <v>79</v>
      </c>
      <c r="I803" s="19">
        <f>patients[[#This Row],[departure_date]]-patients[[#This Row],[arrival_date]]</f>
        <v>1</v>
      </c>
      <c r="J803" t="str">
        <f>IF(patients[[#This Row],[age]] &lt; 18,"0-17",IF(patients[[#This Row],[age]] &lt; 40,"18-39",IF(patients[[#This Row],[age]] &lt; 65,"40-64","65+")))</f>
        <v>40-64</v>
      </c>
      <c r="K803" s="1" t="str">
        <f>TEXT(patients[[#This Row],[arrival_date]],"[$-409]mmmm")</f>
        <v>September</v>
      </c>
      <c r="L803" s="1">
        <f>MATCH(K803, {"January";"February";"March";"April";"May";"June";"July";"August";"September";"October";"November";"December"}, 0)</f>
        <v>9</v>
      </c>
      <c r="M803" s="1" t="str" cm="1">
        <f t="array" ref="M803">IF(patients[[#This Row],[length_of_stay]]&gt;patients!$N$2:$N$2,"Over average","Less than average")</f>
        <v>Less than average</v>
      </c>
    </row>
    <row r="804" spans="2:13" x14ac:dyDescent="0.25">
      <c r="B804" s="1" t="s">
        <v>1611</v>
      </c>
      <c r="C804" s="1" t="s">
        <v>1612</v>
      </c>
      <c r="D804">
        <v>37</v>
      </c>
      <c r="E804" s="2">
        <v>45671</v>
      </c>
      <c r="F804" s="2">
        <v>45682</v>
      </c>
      <c r="G804" s="1" t="s">
        <v>17</v>
      </c>
      <c r="H804">
        <v>91</v>
      </c>
      <c r="I804" s="19">
        <f>patients[[#This Row],[departure_date]]-patients[[#This Row],[arrival_date]]</f>
        <v>11</v>
      </c>
      <c r="J804" t="str">
        <f>IF(patients[[#This Row],[age]] &lt; 18,"0-17",IF(patients[[#This Row],[age]] &lt; 40,"18-39",IF(patients[[#This Row],[age]] &lt; 65,"40-64","65+")))</f>
        <v>18-39</v>
      </c>
      <c r="K804" s="1" t="str">
        <f>TEXT(patients[[#This Row],[arrival_date]],"[$-409]mmmm")</f>
        <v>January</v>
      </c>
      <c r="L804" s="1">
        <f>MATCH(K804, {"January";"February";"March";"April";"May";"June";"July";"August";"September";"October";"November";"December"}, 0)</f>
        <v>1</v>
      </c>
      <c r="M804" s="1" t="str" cm="1">
        <f t="array" ref="M804">IF(patients[[#This Row],[length_of_stay]]&gt;patients!$N$2:$N$2,"Over average","Less than average")</f>
        <v>Over average</v>
      </c>
    </row>
    <row r="805" spans="2:13" x14ac:dyDescent="0.25">
      <c r="B805" s="1" t="s">
        <v>1613</v>
      </c>
      <c r="C805" s="1" t="s">
        <v>1614</v>
      </c>
      <c r="D805">
        <v>10</v>
      </c>
      <c r="E805" s="2">
        <v>45812</v>
      </c>
      <c r="F805" s="2">
        <v>45819</v>
      </c>
      <c r="G805" s="1" t="s">
        <v>17</v>
      </c>
      <c r="H805">
        <v>77</v>
      </c>
      <c r="I805" s="19">
        <f>patients[[#This Row],[departure_date]]-patients[[#This Row],[arrival_date]]</f>
        <v>7</v>
      </c>
      <c r="J805" t="str">
        <f>IF(patients[[#This Row],[age]] &lt; 18,"0-17",IF(patients[[#This Row],[age]] &lt; 40,"18-39",IF(patients[[#This Row],[age]] &lt; 65,"40-64","65+")))</f>
        <v>0-17</v>
      </c>
      <c r="K805" s="1" t="str">
        <f>TEXT(patients[[#This Row],[arrival_date]],"[$-409]mmmm")</f>
        <v>June</v>
      </c>
      <c r="L805" s="1">
        <f>MATCH(K805, {"January";"February";"March";"April";"May";"June";"July";"August";"September";"October";"November";"December"}, 0)</f>
        <v>6</v>
      </c>
      <c r="M805" s="1" t="str" cm="1">
        <f t="array" ref="M805">IF(patients[[#This Row],[length_of_stay]]&gt;patients!$N$2:$N$2,"Over average","Less than average")</f>
        <v>Less than average</v>
      </c>
    </row>
    <row r="806" spans="2:13" x14ac:dyDescent="0.25">
      <c r="B806" s="1" t="s">
        <v>1615</v>
      </c>
      <c r="C806" s="1" t="s">
        <v>1616</v>
      </c>
      <c r="D806">
        <v>86</v>
      </c>
      <c r="E806" s="2">
        <v>45934</v>
      </c>
      <c r="F806" s="2">
        <v>45946</v>
      </c>
      <c r="G806" s="1" t="s">
        <v>14</v>
      </c>
      <c r="H806">
        <v>64</v>
      </c>
      <c r="I806" s="19">
        <f>patients[[#This Row],[departure_date]]-patients[[#This Row],[arrival_date]]</f>
        <v>12</v>
      </c>
      <c r="J806" t="str">
        <f>IF(patients[[#This Row],[age]] &lt; 18,"0-17",IF(patients[[#This Row],[age]] &lt; 40,"18-39",IF(patients[[#This Row],[age]] &lt; 65,"40-64","65+")))</f>
        <v>65+</v>
      </c>
      <c r="K806" s="1" t="str">
        <f>TEXT(patients[[#This Row],[arrival_date]],"[$-409]mmmm")</f>
        <v>October</v>
      </c>
      <c r="L806" s="1">
        <f>MATCH(K806, {"January";"February";"March";"April";"May";"June";"July";"August";"September";"October";"November";"December"}, 0)</f>
        <v>10</v>
      </c>
      <c r="M806" s="1" t="str" cm="1">
        <f t="array" ref="M806">IF(patients[[#This Row],[length_of_stay]]&gt;patients!$N$2:$N$2,"Over average","Less than average")</f>
        <v>Over average</v>
      </c>
    </row>
    <row r="807" spans="2:13" x14ac:dyDescent="0.25">
      <c r="B807" s="1" t="s">
        <v>1617</v>
      </c>
      <c r="C807" s="1" t="s">
        <v>1618</v>
      </c>
      <c r="D807">
        <v>86</v>
      </c>
      <c r="E807" s="2">
        <v>45716</v>
      </c>
      <c r="F807" s="2">
        <v>45725</v>
      </c>
      <c r="G807" s="1" t="s">
        <v>17</v>
      </c>
      <c r="H807">
        <v>69</v>
      </c>
      <c r="I807" s="19">
        <f>patients[[#This Row],[departure_date]]-patients[[#This Row],[arrival_date]]</f>
        <v>9</v>
      </c>
      <c r="J807" t="str">
        <f>IF(patients[[#This Row],[age]] &lt; 18,"0-17",IF(patients[[#This Row],[age]] &lt; 40,"18-39",IF(patients[[#This Row],[age]] &lt; 65,"40-64","65+")))</f>
        <v>65+</v>
      </c>
      <c r="K807" s="1" t="str">
        <f>TEXT(patients[[#This Row],[arrival_date]],"[$-409]mmmm")</f>
        <v>February</v>
      </c>
      <c r="L807" s="1">
        <f>MATCH(K807, {"January";"February";"March";"April";"May";"June";"July";"August";"September";"October";"November";"December"}, 0)</f>
        <v>2</v>
      </c>
      <c r="M807" s="1" t="str" cm="1">
        <f t="array" ref="M807">IF(patients[[#This Row],[length_of_stay]]&gt;patients!$N$2:$N$2,"Over average","Less than average")</f>
        <v>Over average</v>
      </c>
    </row>
    <row r="808" spans="2:13" x14ac:dyDescent="0.25">
      <c r="B808" s="1" t="s">
        <v>1619</v>
      </c>
      <c r="C808" s="1" t="s">
        <v>1620</v>
      </c>
      <c r="D808">
        <v>21</v>
      </c>
      <c r="E808" s="2">
        <v>45978</v>
      </c>
      <c r="F808" s="2">
        <v>45985</v>
      </c>
      <c r="G808" s="1" t="s">
        <v>14</v>
      </c>
      <c r="H808">
        <v>63</v>
      </c>
      <c r="I808" s="19">
        <f>patients[[#This Row],[departure_date]]-patients[[#This Row],[arrival_date]]</f>
        <v>7</v>
      </c>
      <c r="J808" t="str">
        <f>IF(patients[[#This Row],[age]] &lt; 18,"0-17",IF(patients[[#This Row],[age]] &lt; 40,"18-39",IF(patients[[#This Row],[age]] &lt; 65,"40-64","65+")))</f>
        <v>18-39</v>
      </c>
      <c r="K808" s="1" t="str">
        <f>TEXT(patients[[#This Row],[arrival_date]],"[$-409]mmmm")</f>
        <v>November</v>
      </c>
      <c r="L808" s="1">
        <f>MATCH(K808, {"January";"February";"March";"April";"May";"June";"July";"August";"September";"October";"November";"December"}, 0)</f>
        <v>11</v>
      </c>
      <c r="M808" s="1" t="str" cm="1">
        <f t="array" ref="M808">IF(patients[[#This Row],[length_of_stay]]&gt;patients!$N$2:$N$2,"Over average","Less than average")</f>
        <v>Less than average</v>
      </c>
    </row>
    <row r="809" spans="2:13" x14ac:dyDescent="0.25">
      <c r="B809" s="1" t="s">
        <v>1621</v>
      </c>
      <c r="C809" s="1" t="s">
        <v>1622</v>
      </c>
      <c r="D809">
        <v>64</v>
      </c>
      <c r="E809" s="2">
        <v>45761</v>
      </c>
      <c r="F809" s="2">
        <v>45773</v>
      </c>
      <c r="G809" s="1" t="s">
        <v>14</v>
      </c>
      <c r="H809">
        <v>81</v>
      </c>
      <c r="I809" s="19">
        <f>patients[[#This Row],[departure_date]]-patients[[#This Row],[arrival_date]]</f>
        <v>12</v>
      </c>
      <c r="J809" t="str">
        <f>IF(patients[[#This Row],[age]] &lt; 18,"0-17",IF(patients[[#This Row],[age]] &lt; 40,"18-39",IF(patients[[#This Row],[age]] &lt; 65,"40-64","65+")))</f>
        <v>40-64</v>
      </c>
      <c r="K809" s="1" t="str">
        <f>TEXT(patients[[#This Row],[arrival_date]],"[$-409]mmmm")</f>
        <v>April</v>
      </c>
      <c r="L809" s="1">
        <f>MATCH(K809, {"January";"February";"March";"April";"May";"June";"July";"August";"September";"October";"November";"December"}, 0)</f>
        <v>4</v>
      </c>
      <c r="M809" s="1" t="str" cm="1">
        <f t="array" ref="M809">IF(patients[[#This Row],[length_of_stay]]&gt;patients!$N$2:$N$2,"Over average","Less than average")</f>
        <v>Over average</v>
      </c>
    </row>
    <row r="810" spans="2:13" x14ac:dyDescent="0.25">
      <c r="B810" s="1" t="s">
        <v>1623</v>
      </c>
      <c r="C810" s="1" t="s">
        <v>1624</v>
      </c>
      <c r="D810">
        <v>85</v>
      </c>
      <c r="E810" s="2">
        <v>45866</v>
      </c>
      <c r="F810" s="2">
        <v>45879</v>
      </c>
      <c r="G810" s="1" t="s">
        <v>9</v>
      </c>
      <c r="H810">
        <v>73</v>
      </c>
      <c r="I810" s="19">
        <f>patients[[#This Row],[departure_date]]-patients[[#This Row],[arrival_date]]</f>
        <v>13</v>
      </c>
      <c r="J810" t="str">
        <f>IF(patients[[#This Row],[age]] &lt; 18,"0-17",IF(patients[[#This Row],[age]] &lt; 40,"18-39",IF(patients[[#This Row],[age]] &lt; 65,"40-64","65+")))</f>
        <v>65+</v>
      </c>
      <c r="K810" s="1" t="str">
        <f>TEXT(patients[[#This Row],[arrival_date]],"[$-409]mmmm")</f>
        <v>July</v>
      </c>
      <c r="L810" s="1">
        <f>MATCH(K810, {"January";"February";"March";"April";"May";"June";"July";"August";"September";"October";"November";"December"}, 0)</f>
        <v>7</v>
      </c>
      <c r="M810" s="1" t="str" cm="1">
        <f t="array" ref="M810">IF(patients[[#This Row],[length_of_stay]]&gt;patients!$N$2:$N$2,"Over average","Less than average")</f>
        <v>Over average</v>
      </c>
    </row>
    <row r="811" spans="2:13" x14ac:dyDescent="0.25">
      <c r="B811" s="1" t="s">
        <v>1625</v>
      </c>
      <c r="C811" s="1" t="s">
        <v>1626</v>
      </c>
      <c r="D811">
        <v>49</v>
      </c>
      <c r="E811" s="2">
        <v>45769</v>
      </c>
      <c r="F811" s="2">
        <v>45770</v>
      </c>
      <c r="G811" s="1" t="s">
        <v>20</v>
      </c>
      <c r="H811">
        <v>74</v>
      </c>
      <c r="I811" s="19">
        <f>patients[[#This Row],[departure_date]]-patients[[#This Row],[arrival_date]]</f>
        <v>1</v>
      </c>
      <c r="J811" t="str">
        <f>IF(patients[[#This Row],[age]] &lt; 18,"0-17",IF(patients[[#This Row],[age]] &lt; 40,"18-39",IF(patients[[#This Row],[age]] &lt; 65,"40-64","65+")))</f>
        <v>40-64</v>
      </c>
      <c r="K811" s="1" t="str">
        <f>TEXT(patients[[#This Row],[arrival_date]],"[$-409]mmmm")</f>
        <v>April</v>
      </c>
      <c r="L811" s="1">
        <f>MATCH(K811, {"January";"February";"March";"April";"May";"June";"July";"August";"September";"October";"November";"December"}, 0)</f>
        <v>4</v>
      </c>
      <c r="M811" s="1" t="str" cm="1">
        <f t="array" ref="M811">IF(patients[[#This Row],[length_of_stay]]&gt;patients!$N$2:$N$2,"Over average","Less than average")</f>
        <v>Less than average</v>
      </c>
    </row>
    <row r="812" spans="2:13" x14ac:dyDescent="0.25">
      <c r="B812" s="1" t="s">
        <v>1627</v>
      </c>
      <c r="C812" s="1" t="s">
        <v>1628</v>
      </c>
      <c r="D812">
        <v>11</v>
      </c>
      <c r="E812" s="2">
        <v>45775</v>
      </c>
      <c r="F812" s="2">
        <v>45779</v>
      </c>
      <c r="G812" s="1" t="s">
        <v>20</v>
      </c>
      <c r="H812">
        <v>89</v>
      </c>
      <c r="I812" s="19">
        <f>patients[[#This Row],[departure_date]]-patients[[#This Row],[arrival_date]]</f>
        <v>4</v>
      </c>
      <c r="J812" t="str">
        <f>IF(patients[[#This Row],[age]] &lt; 18,"0-17",IF(patients[[#This Row],[age]] &lt; 40,"18-39",IF(patients[[#This Row],[age]] &lt; 65,"40-64","65+")))</f>
        <v>0-17</v>
      </c>
      <c r="K812" s="1" t="str">
        <f>TEXT(patients[[#This Row],[arrival_date]],"[$-409]mmmm")</f>
        <v>April</v>
      </c>
      <c r="L812" s="1">
        <f>MATCH(K812, {"January";"February";"March";"April";"May";"June";"July";"August";"September";"October";"November";"December"}, 0)</f>
        <v>4</v>
      </c>
      <c r="M812" s="1" t="str" cm="1">
        <f t="array" ref="M812">IF(patients[[#This Row],[length_of_stay]]&gt;patients!$N$2:$N$2,"Over average","Less than average")</f>
        <v>Less than average</v>
      </c>
    </row>
    <row r="813" spans="2:13" x14ac:dyDescent="0.25">
      <c r="B813" s="1" t="s">
        <v>1629</v>
      </c>
      <c r="C813" s="1" t="s">
        <v>1630</v>
      </c>
      <c r="D813">
        <v>37</v>
      </c>
      <c r="E813" s="2">
        <v>45813</v>
      </c>
      <c r="F813" s="2">
        <v>45821</v>
      </c>
      <c r="G813" s="1" t="s">
        <v>14</v>
      </c>
      <c r="H813">
        <v>85</v>
      </c>
      <c r="I813" s="19">
        <f>patients[[#This Row],[departure_date]]-patients[[#This Row],[arrival_date]]</f>
        <v>8</v>
      </c>
      <c r="J813" t="str">
        <f>IF(patients[[#This Row],[age]] &lt; 18,"0-17",IF(patients[[#This Row],[age]] &lt; 40,"18-39",IF(patients[[#This Row],[age]] &lt; 65,"40-64","65+")))</f>
        <v>18-39</v>
      </c>
      <c r="K813" s="1" t="str">
        <f>TEXT(patients[[#This Row],[arrival_date]],"[$-409]mmmm")</f>
        <v>June</v>
      </c>
      <c r="L813" s="1">
        <f>MATCH(K813, {"January";"February";"March";"April";"May";"June";"July";"August";"September";"October";"November";"December"}, 0)</f>
        <v>6</v>
      </c>
      <c r="M813" s="1" t="str" cm="1">
        <f t="array" ref="M813">IF(patients[[#This Row],[length_of_stay]]&gt;patients!$N$2:$N$2,"Over average","Less than average")</f>
        <v>Over average</v>
      </c>
    </row>
    <row r="814" spans="2:13" x14ac:dyDescent="0.25">
      <c r="B814" s="1" t="s">
        <v>1631</v>
      </c>
      <c r="C814" s="1" t="s">
        <v>1632</v>
      </c>
      <c r="D814">
        <v>12</v>
      </c>
      <c r="E814" s="2">
        <v>45979</v>
      </c>
      <c r="F814" s="2">
        <v>45984</v>
      </c>
      <c r="G814" s="1" t="s">
        <v>17</v>
      </c>
      <c r="H814">
        <v>97</v>
      </c>
      <c r="I814" s="19">
        <f>patients[[#This Row],[departure_date]]-patients[[#This Row],[arrival_date]]</f>
        <v>5</v>
      </c>
      <c r="J814" t="str">
        <f>IF(patients[[#This Row],[age]] &lt; 18,"0-17",IF(patients[[#This Row],[age]] &lt; 40,"18-39",IF(patients[[#This Row],[age]] &lt; 65,"40-64","65+")))</f>
        <v>0-17</v>
      </c>
      <c r="K814" s="1" t="str">
        <f>TEXT(patients[[#This Row],[arrival_date]],"[$-409]mmmm")</f>
        <v>November</v>
      </c>
      <c r="L814" s="1">
        <f>MATCH(K814, {"January";"February";"March";"April";"May";"June";"July";"August";"September";"October";"November";"December"}, 0)</f>
        <v>11</v>
      </c>
      <c r="M814" s="1" t="str" cm="1">
        <f t="array" ref="M814">IF(patients[[#This Row],[length_of_stay]]&gt;patients!$N$2:$N$2,"Over average","Less than average")</f>
        <v>Less than average</v>
      </c>
    </row>
    <row r="815" spans="2:13" x14ac:dyDescent="0.25">
      <c r="B815" s="1" t="s">
        <v>1633</v>
      </c>
      <c r="C815" s="1" t="s">
        <v>1634</v>
      </c>
      <c r="D815">
        <v>65</v>
      </c>
      <c r="E815" s="2">
        <v>45683</v>
      </c>
      <c r="F815" s="2">
        <v>45694</v>
      </c>
      <c r="G815" s="1" t="s">
        <v>20</v>
      </c>
      <c r="H815">
        <v>67</v>
      </c>
      <c r="I815" s="19">
        <f>patients[[#This Row],[departure_date]]-patients[[#This Row],[arrival_date]]</f>
        <v>11</v>
      </c>
      <c r="J815" t="str">
        <f>IF(patients[[#This Row],[age]] &lt; 18,"0-17",IF(patients[[#This Row],[age]] &lt; 40,"18-39",IF(patients[[#This Row],[age]] &lt; 65,"40-64","65+")))</f>
        <v>65+</v>
      </c>
      <c r="K815" s="1" t="str">
        <f>TEXT(patients[[#This Row],[arrival_date]],"[$-409]mmmm")</f>
        <v>January</v>
      </c>
      <c r="L815" s="1">
        <f>MATCH(K815, {"January";"February";"March";"April";"May";"June";"July";"August";"September";"October";"November";"December"}, 0)</f>
        <v>1</v>
      </c>
      <c r="M815" s="1" t="str" cm="1">
        <f t="array" ref="M815">IF(patients[[#This Row],[length_of_stay]]&gt;patients!$N$2:$N$2,"Over average","Less than average")</f>
        <v>Over average</v>
      </c>
    </row>
    <row r="816" spans="2:13" x14ac:dyDescent="0.25">
      <c r="B816" s="1" t="s">
        <v>1635</v>
      </c>
      <c r="C816" s="1" t="s">
        <v>1636</v>
      </c>
      <c r="D816">
        <v>39</v>
      </c>
      <c r="E816" s="2">
        <v>45807</v>
      </c>
      <c r="F816" s="2">
        <v>45811</v>
      </c>
      <c r="G816" s="1" t="s">
        <v>14</v>
      </c>
      <c r="H816">
        <v>67</v>
      </c>
      <c r="I816" s="19">
        <f>patients[[#This Row],[departure_date]]-patients[[#This Row],[arrival_date]]</f>
        <v>4</v>
      </c>
      <c r="J816" t="str">
        <f>IF(patients[[#This Row],[age]] &lt; 18,"0-17",IF(patients[[#This Row],[age]] &lt; 40,"18-39",IF(patients[[#This Row],[age]] &lt; 65,"40-64","65+")))</f>
        <v>18-39</v>
      </c>
      <c r="K816" s="1" t="str">
        <f>TEXT(patients[[#This Row],[arrival_date]],"[$-409]mmmm")</f>
        <v>May</v>
      </c>
      <c r="L816" s="1">
        <f>MATCH(K816, {"January";"February";"March";"April";"May";"June";"July";"August";"September";"October";"November";"December"}, 0)</f>
        <v>5</v>
      </c>
      <c r="M816" s="1" t="str" cm="1">
        <f t="array" ref="M816">IF(patients[[#This Row],[length_of_stay]]&gt;patients!$N$2:$N$2,"Over average","Less than average")</f>
        <v>Less than average</v>
      </c>
    </row>
    <row r="817" spans="2:13" x14ac:dyDescent="0.25">
      <c r="B817" s="1" t="s">
        <v>1637</v>
      </c>
      <c r="C817" s="1" t="s">
        <v>1638</v>
      </c>
      <c r="D817">
        <v>28</v>
      </c>
      <c r="E817" s="2">
        <v>45866</v>
      </c>
      <c r="F817" s="2">
        <v>45870</v>
      </c>
      <c r="G817" s="1" t="s">
        <v>20</v>
      </c>
      <c r="H817">
        <v>75</v>
      </c>
      <c r="I817" s="19">
        <f>patients[[#This Row],[departure_date]]-patients[[#This Row],[arrival_date]]</f>
        <v>4</v>
      </c>
      <c r="J817" t="str">
        <f>IF(patients[[#This Row],[age]] &lt; 18,"0-17",IF(patients[[#This Row],[age]] &lt; 40,"18-39",IF(patients[[#This Row],[age]] &lt; 65,"40-64","65+")))</f>
        <v>18-39</v>
      </c>
      <c r="K817" s="1" t="str">
        <f>TEXT(patients[[#This Row],[arrival_date]],"[$-409]mmmm")</f>
        <v>July</v>
      </c>
      <c r="L817" s="1">
        <f>MATCH(K817, {"January";"February";"March";"April";"May";"June";"July";"August";"September";"October";"November";"December"}, 0)</f>
        <v>7</v>
      </c>
      <c r="M817" s="1" t="str" cm="1">
        <f t="array" ref="M817">IF(patients[[#This Row],[length_of_stay]]&gt;patients!$N$2:$N$2,"Over average","Less than average")</f>
        <v>Less than average</v>
      </c>
    </row>
    <row r="818" spans="2:13" x14ac:dyDescent="0.25">
      <c r="B818" s="1" t="s">
        <v>1639</v>
      </c>
      <c r="C818" s="1" t="s">
        <v>1640</v>
      </c>
      <c r="D818">
        <v>45</v>
      </c>
      <c r="E818" s="2">
        <v>45892</v>
      </c>
      <c r="F818" s="2">
        <v>45899</v>
      </c>
      <c r="G818" s="1" t="s">
        <v>9</v>
      </c>
      <c r="H818">
        <v>75</v>
      </c>
      <c r="I818" s="19">
        <f>patients[[#This Row],[departure_date]]-patients[[#This Row],[arrival_date]]</f>
        <v>7</v>
      </c>
      <c r="J818" t="str">
        <f>IF(patients[[#This Row],[age]] &lt; 18,"0-17",IF(patients[[#This Row],[age]] &lt; 40,"18-39",IF(patients[[#This Row],[age]] &lt; 65,"40-64","65+")))</f>
        <v>40-64</v>
      </c>
      <c r="K818" s="1" t="str">
        <f>TEXT(patients[[#This Row],[arrival_date]],"[$-409]mmmm")</f>
        <v>August</v>
      </c>
      <c r="L818" s="1">
        <f>MATCH(K818, {"January";"February";"March";"April";"May";"June";"July";"August";"September";"October";"November";"December"}, 0)</f>
        <v>8</v>
      </c>
      <c r="M818" s="1" t="str" cm="1">
        <f t="array" ref="M818">IF(patients[[#This Row],[length_of_stay]]&gt;patients!$N$2:$N$2,"Over average","Less than average")</f>
        <v>Less than average</v>
      </c>
    </row>
    <row r="819" spans="2:13" x14ac:dyDescent="0.25">
      <c r="B819" s="1" t="s">
        <v>1641</v>
      </c>
      <c r="C819" s="1" t="s">
        <v>1642</v>
      </c>
      <c r="D819">
        <v>44</v>
      </c>
      <c r="E819" s="2">
        <v>45896</v>
      </c>
      <c r="F819" s="2">
        <v>45904</v>
      </c>
      <c r="G819" s="1" t="s">
        <v>14</v>
      </c>
      <c r="H819">
        <v>86</v>
      </c>
      <c r="I819" s="19">
        <f>patients[[#This Row],[departure_date]]-patients[[#This Row],[arrival_date]]</f>
        <v>8</v>
      </c>
      <c r="J819" t="str">
        <f>IF(patients[[#This Row],[age]] &lt; 18,"0-17",IF(patients[[#This Row],[age]] &lt; 40,"18-39",IF(patients[[#This Row],[age]] &lt; 65,"40-64","65+")))</f>
        <v>40-64</v>
      </c>
      <c r="K819" s="1" t="str">
        <f>TEXT(patients[[#This Row],[arrival_date]],"[$-409]mmmm")</f>
        <v>August</v>
      </c>
      <c r="L819" s="1">
        <f>MATCH(K819, {"January";"February";"March";"April";"May";"June";"July";"August";"September";"October";"November";"December"}, 0)</f>
        <v>8</v>
      </c>
      <c r="M819" s="1" t="str" cm="1">
        <f t="array" ref="M819">IF(patients[[#This Row],[length_of_stay]]&gt;patients!$N$2:$N$2,"Over average","Less than average")</f>
        <v>Over average</v>
      </c>
    </row>
    <row r="820" spans="2:13" x14ac:dyDescent="0.25">
      <c r="B820" s="1" t="s">
        <v>1643</v>
      </c>
      <c r="C820" s="1" t="s">
        <v>1644</v>
      </c>
      <c r="D820">
        <v>52</v>
      </c>
      <c r="E820" s="2">
        <v>45745</v>
      </c>
      <c r="F820" s="2">
        <v>45754</v>
      </c>
      <c r="G820" s="1" t="s">
        <v>14</v>
      </c>
      <c r="H820">
        <v>94</v>
      </c>
      <c r="I820" s="19">
        <f>patients[[#This Row],[departure_date]]-patients[[#This Row],[arrival_date]]</f>
        <v>9</v>
      </c>
      <c r="J820" t="str">
        <f>IF(patients[[#This Row],[age]] &lt; 18,"0-17",IF(patients[[#This Row],[age]] &lt; 40,"18-39",IF(patients[[#This Row],[age]] &lt; 65,"40-64","65+")))</f>
        <v>40-64</v>
      </c>
      <c r="K820" s="1" t="str">
        <f>TEXT(patients[[#This Row],[arrival_date]],"[$-409]mmmm")</f>
        <v>March</v>
      </c>
      <c r="L820" s="1">
        <f>MATCH(K820, {"January";"February";"March";"April";"May";"June";"July";"August";"September";"October";"November";"December"}, 0)</f>
        <v>3</v>
      </c>
      <c r="M820" s="1" t="str" cm="1">
        <f t="array" ref="M820">IF(patients[[#This Row],[length_of_stay]]&gt;patients!$N$2:$N$2,"Over average","Less than average")</f>
        <v>Over average</v>
      </c>
    </row>
    <row r="821" spans="2:13" x14ac:dyDescent="0.25">
      <c r="B821" s="1" t="s">
        <v>1645</v>
      </c>
      <c r="C821" s="1" t="s">
        <v>1646</v>
      </c>
      <c r="D821">
        <v>50</v>
      </c>
      <c r="E821" s="2">
        <v>45950</v>
      </c>
      <c r="F821" s="2">
        <v>45960</v>
      </c>
      <c r="G821" s="1" t="s">
        <v>20</v>
      </c>
      <c r="H821">
        <v>76</v>
      </c>
      <c r="I821" s="19">
        <f>patients[[#This Row],[departure_date]]-patients[[#This Row],[arrival_date]]</f>
        <v>10</v>
      </c>
      <c r="J821" t="str">
        <f>IF(patients[[#This Row],[age]] &lt; 18,"0-17",IF(patients[[#This Row],[age]] &lt; 40,"18-39",IF(patients[[#This Row],[age]] &lt; 65,"40-64","65+")))</f>
        <v>40-64</v>
      </c>
      <c r="K821" s="1" t="str">
        <f>TEXT(patients[[#This Row],[arrival_date]],"[$-409]mmmm")</f>
        <v>October</v>
      </c>
      <c r="L821" s="1">
        <f>MATCH(K821, {"January";"February";"March";"April";"May";"June";"July";"August";"September";"October";"November";"December"}, 0)</f>
        <v>10</v>
      </c>
      <c r="M821" s="1" t="str" cm="1">
        <f t="array" ref="M821">IF(patients[[#This Row],[length_of_stay]]&gt;patients!$N$2:$N$2,"Over average","Less than average")</f>
        <v>Over average</v>
      </c>
    </row>
    <row r="822" spans="2:13" x14ac:dyDescent="0.25">
      <c r="B822" s="1" t="s">
        <v>1647</v>
      </c>
      <c r="C822" s="1" t="s">
        <v>1648</v>
      </c>
      <c r="D822">
        <v>56</v>
      </c>
      <c r="E822" s="2">
        <v>45864</v>
      </c>
      <c r="F822" s="2">
        <v>45869</v>
      </c>
      <c r="G822" s="1" t="s">
        <v>20</v>
      </c>
      <c r="H822">
        <v>89</v>
      </c>
      <c r="I822" s="19">
        <f>patients[[#This Row],[departure_date]]-patients[[#This Row],[arrival_date]]</f>
        <v>5</v>
      </c>
      <c r="J822" t="str">
        <f>IF(patients[[#This Row],[age]] &lt; 18,"0-17",IF(patients[[#This Row],[age]] &lt; 40,"18-39",IF(patients[[#This Row],[age]] &lt; 65,"40-64","65+")))</f>
        <v>40-64</v>
      </c>
      <c r="K822" s="1" t="str">
        <f>TEXT(patients[[#This Row],[arrival_date]],"[$-409]mmmm")</f>
        <v>July</v>
      </c>
      <c r="L822" s="1">
        <f>MATCH(K822, {"January";"February";"March";"April";"May";"June";"July";"August";"September";"October";"November";"December"}, 0)</f>
        <v>7</v>
      </c>
      <c r="M822" s="1" t="str" cm="1">
        <f t="array" ref="M822">IF(patients[[#This Row],[length_of_stay]]&gt;patients!$N$2:$N$2,"Over average","Less than average")</f>
        <v>Less than average</v>
      </c>
    </row>
    <row r="823" spans="2:13" x14ac:dyDescent="0.25">
      <c r="B823" s="1" t="s">
        <v>1649</v>
      </c>
      <c r="C823" s="1" t="s">
        <v>1650</v>
      </c>
      <c r="D823">
        <v>19</v>
      </c>
      <c r="E823" s="2">
        <v>45888</v>
      </c>
      <c r="F823" s="2">
        <v>45893</v>
      </c>
      <c r="G823" s="1" t="s">
        <v>20</v>
      </c>
      <c r="H823">
        <v>71</v>
      </c>
      <c r="I823" s="19">
        <f>patients[[#This Row],[departure_date]]-patients[[#This Row],[arrival_date]]</f>
        <v>5</v>
      </c>
      <c r="J823" t="str">
        <f>IF(patients[[#This Row],[age]] &lt; 18,"0-17",IF(patients[[#This Row],[age]] &lt; 40,"18-39",IF(patients[[#This Row],[age]] &lt; 65,"40-64","65+")))</f>
        <v>18-39</v>
      </c>
      <c r="K823" s="1" t="str">
        <f>TEXT(patients[[#This Row],[arrival_date]],"[$-409]mmmm")</f>
        <v>August</v>
      </c>
      <c r="L823" s="1">
        <f>MATCH(K823, {"January";"February";"March";"April";"May";"June";"July";"August";"September";"October";"November";"December"}, 0)</f>
        <v>8</v>
      </c>
      <c r="M823" s="1" t="str" cm="1">
        <f t="array" ref="M823">IF(patients[[#This Row],[length_of_stay]]&gt;patients!$N$2:$N$2,"Over average","Less than average")</f>
        <v>Less than average</v>
      </c>
    </row>
    <row r="824" spans="2:13" x14ac:dyDescent="0.25">
      <c r="B824" s="1" t="s">
        <v>1651</v>
      </c>
      <c r="C824" s="1" t="s">
        <v>1652</v>
      </c>
      <c r="D824">
        <v>48</v>
      </c>
      <c r="E824" s="2">
        <v>45721</v>
      </c>
      <c r="F824" s="2">
        <v>45731</v>
      </c>
      <c r="G824" s="1" t="s">
        <v>17</v>
      </c>
      <c r="H824">
        <v>89</v>
      </c>
      <c r="I824" s="19">
        <f>patients[[#This Row],[departure_date]]-patients[[#This Row],[arrival_date]]</f>
        <v>10</v>
      </c>
      <c r="J824" t="str">
        <f>IF(patients[[#This Row],[age]] &lt; 18,"0-17",IF(patients[[#This Row],[age]] &lt; 40,"18-39",IF(patients[[#This Row],[age]] &lt; 65,"40-64","65+")))</f>
        <v>40-64</v>
      </c>
      <c r="K824" s="1" t="str">
        <f>TEXT(patients[[#This Row],[arrival_date]],"[$-409]mmmm")</f>
        <v>March</v>
      </c>
      <c r="L824" s="1">
        <f>MATCH(K824, {"January";"February";"March";"April";"May";"June";"July";"August";"September";"October";"November";"December"}, 0)</f>
        <v>3</v>
      </c>
      <c r="M824" s="1" t="str" cm="1">
        <f t="array" ref="M824">IF(patients[[#This Row],[length_of_stay]]&gt;patients!$N$2:$N$2,"Over average","Less than average")</f>
        <v>Over average</v>
      </c>
    </row>
    <row r="825" spans="2:13" x14ac:dyDescent="0.25">
      <c r="B825" s="1" t="s">
        <v>1653</v>
      </c>
      <c r="C825" s="1" t="s">
        <v>1654</v>
      </c>
      <c r="D825">
        <v>28</v>
      </c>
      <c r="E825" s="2">
        <v>45668</v>
      </c>
      <c r="F825" s="2">
        <v>45670</v>
      </c>
      <c r="G825" s="1" t="s">
        <v>14</v>
      </c>
      <c r="H825">
        <v>66</v>
      </c>
      <c r="I825" s="19">
        <f>patients[[#This Row],[departure_date]]-patients[[#This Row],[arrival_date]]</f>
        <v>2</v>
      </c>
      <c r="J825" t="str">
        <f>IF(patients[[#This Row],[age]] &lt; 18,"0-17",IF(patients[[#This Row],[age]] &lt; 40,"18-39",IF(patients[[#This Row],[age]] &lt; 65,"40-64","65+")))</f>
        <v>18-39</v>
      </c>
      <c r="K825" s="1" t="str">
        <f>TEXT(patients[[#This Row],[arrival_date]],"[$-409]mmmm")</f>
        <v>January</v>
      </c>
      <c r="L825" s="1">
        <f>MATCH(K825, {"January";"February";"March";"April";"May";"June";"July";"August";"September";"October";"November";"December"}, 0)</f>
        <v>1</v>
      </c>
      <c r="M825" s="1" t="str" cm="1">
        <f t="array" ref="M825">IF(patients[[#This Row],[length_of_stay]]&gt;patients!$N$2:$N$2,"Over average","Less than average")</f>
        <v>Less than average</v>
      </c>
    </row>
    <row r="826" spans="2:13" x14ac:dyDescent="0.25">
      <c r="B826" s="1" t="s">
        <v>1655</v>
      </c>
      <c r="C826" s="1" t="s">
        <v>1656</v>
      </c>
      <c r="D826">
        <v>57</v>
      </c>
      <c r="E826" s="2">
        <v>45908</v>
      </c>
      <c r="F826" s="2">
        <v>45912</v>
      </c>
      <c r="G826" s="1" t="s">
        <v>9</v>
      </c>
      <c r="H826">
        <v>97</v>
      </c>
      <c r="I826" s="19">
        <f>patients[[#This Row],[departure_date]]-patients[[#This Row],[arrival_date]]</f>
        <v>4</v>
      </c>
      <c r="J826" t="str">
        <f>IF(patients[[#This Row],[age]] &lt; 18,"0-17",IF(patients[[#This Row],[age]] &lt; 40,"18-39",IF(patients[[#This Row],[age]] &lt; 65,"40-64","65+")))</f>
        <v>40-64</v>
      </c>
      <c r="K826" s="1" t="str">
        <f>TEXT(patients[[#This Row],[arrival_date]],"[$-409]mmmm")</f>
        <v>September</v>
      </c>
      <c r="L826" s="1">
        <f>MATCH(K826, {"January";"February";"March";"April";"May";"June";"July";"August";"September";"October";"November";"December"}, 0)</f>
        <v>9</v>
      </c>
      <c r="M826" s="1" t="str" cm="1">
        <f t="array" ref="M826">IF(patients[[#This Row],[length_of_stay]]&gt;patients!$N$2:$N$2,"Over average","Less than average")</f>
        <v>Less than average</v>
      </c>
    </row>
    <row r="827" spans="2:13" x14ac:dyDescent="0.25">
      <c r="B827" s="1" t="s">
        <v>1657</v>
      </c>
      <c r="C827" s="1" t="s">
        <v>1658</v>
      </c>
      <c r="D827">
        <v>87</v>
      </c>
      <c r="E827" s="2">
        <v>45709</v>
      </c>
      <c r="F827" s="2">
        <v>45714</v>
      </c>
      <c r="G827" s="1" t="s">
        <v>9</v>
      </c>
      <c r="H827">
        <v>79</v>
      </c>
      <c r="I827" s="19">
        <f>patients[[#This Row],[departure_date]]-patients[[#This Row],[arrival_date]]</f>
        <v>5</v>
      </c>
      <c r="J827" t="str">
        <f>IF(patients[[#This Row],[age]] &lt; 18,"0-17",IF(patients[[#This Row],[age]] &lt; 40,"18-39",IF(patients[[#This Row],[age]] &lt; 65,"40-64","65+")))</f>
        <v>65+</v>
      </c>
      <c r="K827" s="1" t="str">
        <f>TEXT(patients[[#This Row],[arrival_date]],"[$-409]mmmm")</f>
        <v>February</v>
      </c>
      <c r="L827" s="1">
        <f>MATCH(K827, {"January";"February";"March";"April";"May";"June";"July";"August";"September";"October";"November";"December"}, 0)</f>
        <v>2</v>
      </c>
      <c r="M827" s="1" t="str" cm="1">
        <f t="array" ref="M827">IF(patients[[#This Row],[length_of_stay]]&gt;patients!$N$2:$N$2,"Over average","Less than average")</f>
        <v>Less than average</v>
      </c>
    </row>
    <row r="828" spans="2:13" x14ac:dyDescent="0.25">
      <c r="B828" s="1" t="s">
        <v>1659</v>
      </c>
      <c r="C828" s="1" t="s">
        <v>1660</v>
      </c>
      <c r="D828">
        <v>2</v>
      </c>
      <c r="E828" s="2">
        <v>45783</v>
      </c>
      <c r="F828" s="2">
        <v>45792</v>
      </c>
      <c r="G828" s="1" t="s">
        <v>17</v>
      </c>
      <c r="H828">
        <v>99</v>
      </c>
      <c r="I828" s="19">
        <f>patients[[#This Row],[departure_date]]-patients[[#This Row],[arrival_date]]</f>
        <v>9</v>
      </c>
      <c r="J828" t="str">
        <f>IF(patients[[#This Row],[age]] &lt; 18,"0-17",IF(patients[[#This Row],[age]] &lt; 40,"18-39",IF(patients[[#This Row],[age]] &lt; 65,"40-64","65+")))</f>
        <v>0-17</v>
      </c>
      <c r="K828" s="1" t="str">
        <f>TEXT(patients[[#This Row],[arrival_date]],"[$-409]mmmm")</f>
        <v>May</v>
      </c>
      <c r="L828" s="1">
        <f>MATCH(K828, {"January";"February";"March";"April";"May";"June";"July";"August";"September";"October";"November";"December"}, 0)</f>
        <v>5</v>
      </c>
      <c r="M828" s="1" t="str" cm="1">
        <f t="array" ref="M828">IF(patients[[#This Row],[length_of_stay]]&gt;patients!$N$2:$N$2,"Over average","Less than average")</f>
        <v>Over average</v>
      </c>
    </row>
    <row r="829" spans="2:13" x14ac:dyDescent="0.25">
      <c r="B829" s="1" t="s">
        <v>1661</v>
      </c>
      <c r="C829" s="1" t="s">
        <v>1662</v>
      </c>
      <c r="D829">
        <v>71</v>
      </c>
      <c r="E829" s="2">
        <v>45893</v>
      </c>
      <c r="F829" s="2">
        <v>45901</v>
      </c>
      <c r="G829" s="1" t="s">
        <v>20</v>
      </c>
      <c r="H829">
        <v>82</v>
      </c>
      <c r="I829" s="19">
        <f>patients[[#This Row],[departure_date]]-patients[[#This Row],[arrival_date]]</f>
        <v>8</v>
      </c>
      <c r="J829" t="str">
        <f>IF(patients[[#This Row],[age]] &lt; 18,"0-17",IF(patients[[#This Row],[age]] &lt; 40,"18-39",IF(patients[[#This Row],[age]] &lt; 65,"40-64","65+")))</f>
        <v>65+</v>
      </c>
      <c r="K829" s="1" t="str">
        <f>TEXT(patients[[#This Row],[arrival_date]],"[$-409]mmmm")</f>
        <v>August</v>
      </c>
      <c r="L829" s="1">
        <f>MATCH(K829, {"January";"February";"March";"April";"May";"June";"July";"August";"September";"October";"November";"December"}, 0)</f>
        <v>8</v>
      </c>
      <c r="M829" s="1" t="str" cm="1">
        <f t="array" ref="M829">IF(patients[[#This Row],[length_of_stay]]&gt;patients!$N$2:$N$2,"Over average","Less than average")</f>
        <v>Over average</v>
      </c>
    </row>
    <row r="830" spans="2:13" x14ac:dyDescent="0.25">
      <c r="B830" s="1" t="s">
        <v>1663</v>
      </c>
      <c r="C830" s="1" t="s">
        <v>1664</v>
      </c>
      <c r="D830">
        <v>10</v>
      </c>
      <c r="E830" s="2">
        <v>45849</v>
      </c>
      <c r="F830" s="2">
        <v>45857</v>
      </c>
      <c r="G830" s="1" t="s">
        <v>9</v>
      </c>
      <c r="H830">
        <v>88</v>
      </c>
      <c r="I830" s="19">
        <f>patients[[#This Row],[departure_date]]-patients[[#This Row],[arrival_date]]</f>
        <v>8</v>
      </c>
      <c r="J830" t="str">
        <f>IF(patients[[#This Row],[age]] &lt; 18,"0-17",IF(patients[[#This Row],[age]] &lt; 40,"18-39",IF(patients[[#This Row],[age]] &lt; 65,"40-64","65+")))</f>
        <v>0-17</v>
      </c>
      <c r="K830" s="1" t="str">
        <f>TEXT(patients[[#This Row],[arrival_date]],"[$-409]mmmm")</f>
        <v>July</v>
      </c>
      <c r="L830" s="1">
        <f>MATCH(K830, {"January";"February";"March";"April";"May";"June";"July";"August";"September";"October";"November";"December"}, 0)</f>
        <v>7</v>
      </c>
      <c r="M830" s="1" t="str" cm="1">
        <f t="array" ref="M830">IF(patients[[#This Row],[length_of_stay]]&gt;patients!$N$2:$N$2,"Over average","Less than average")</f>
        <v>Over average</v>
      </c>
    </row>
    <row r="831" spans="2:13" x14ac:dyDescent="0.25">
      <c r="B831" s="1" t="s">
        <v>1665</v>
      </c>
      <c r="C831" s="1" t="s">
        <v>1666</v>
      </c>
      <c r="D831">
        <v>55</v>
      </c>
      <c r="E831" s="2">
        <v>45795</v>
      </c>
      <c r="F831" s="2">
        <v>45802</v>
      </c>
      <c r="G831" s="1" t="s">
        <v>20</v>
      </c>
      <c r="H831">
        <v>87</v>
      </c>
      <c r="I831" s="19">
        <f>patients[[#This Row],[departure_date]]-patients[[#This Row],[arrival_date]]</f>
        <v>7</v>
      </c>
      <c r="J831" t="str">
        <f>IF(patients[[#This Row],[age]] &lt; 18,"0-17",IF(patients[[#This Row],[age]] &lt; 40,"18-39",IF(patients[[#This Row],[age]] &lt; 65,"40-64","65+")))</f>
        <v>40-64</v>
      </c>
      <c r="K831" s="1" t="str">
        <f>TEXT(patients[[#This Row],[arrival_date]],"[$-409]mmmm")</f>
        <v>May</v>
      </c>
      <c r="L831" s="1">
        <f>MATCH(K831, {"January";"February";"March";"April";"May";"June";"July";"August";"September";"October";"November";"December"}, 0)</f>
        <v>5</v>
      </c>
      <c r="M831" s="1" t="str" cm="1">
        <f t="array" ref="M831">IF(patients[[#This Row],[length_of_stay]]&gt;patients!$N$2:$N$2,"Over average","Less than average")</f>
        <v>Less than average</v>
      </c>
    </row>
    <row r="832" spans="2:13" x14ac:dyDescent="0.25">
      <c r="B832" s="1" t="s">
        <v>1667</v>
      </c>
      <c r="C832" s="1" t="s">
        <v>1668</v>
      </c>
      <c r="D832">
        <v>48</v>
      </c>
      <c r="E832" s="2">
        <v>45782</v>
      </c>
      <c r="F832" s="2">
        <v>45795</v>
      </c>
      <c r="G832" s="1" t="s">
        <v>20</v>
      </c>
      <c r="H832">
        <v>91</v>
      </c>
      <c r="I832" s="19">
        <f>patients[[#This Row],[departure_date]]-patients[[#This Row],[arrival_date]]</f>
        <v>13</v>
      </c>
      <c r="J832" t="str">
        <f>IF(patients[[#This Row],[age]] &lt; 18,"0-17",IF(patients[[#This Row],[age]] &lt; 40,"18-39",IF(patients[[#This Row],[age]] &lt; 65,"40-64","65+")))</f>
        <v>40-64</v>
      </c>
      <c r="K832" s="1" t="str">
        <f>TEXT(patients[[#This Row],[arrival_date]],"[$-409]mmmm")</f>
        <v>May</v>
      </c>
      <c r="L832" s="1">
        <f>MATCH(K832, {"January";"February";"March";"April";"May";"June";"July";"August";"September";"October";"November";"December"}, 0)</f>
        <v>5</v>
      </c>
      <c r="M832" s="1" t="str" cm="1">
        <f t="array" ref="M832">IF(patients[[#This Row],[length_of_stay]]&gt;patients!$N$2:$N$2,"Over average","Less than average")</f>
        <v>Over average</v>
      </c>
    </row>
    <row r="833" spans="2:13" x14ac:dyDescent="0.25">
      <c r="B833" s="1" t="s">
        <v>1669</v>
      </c>
      <c r="C833" s="1" t="s">
        <v>1670</v>
      </c>
      <c r="D833">
        <v>35</v>
      </c>
      <c r="E833" s="2">
        <v>45939</v>
      </c>
      <c r="F833" s="2">
        <v>45945</v>
      </c>
      <c r="G833" s="1" t="s">
        <v>17</v>
      </c>
      <c r="H833">
        <v>63</v>
      </c>
      <c r="I833" s="19">
        <f>patients[[#This Row],[departure_date]]-patients[[#This Row],[arrival_date]]</f>
        <v>6</v>
      </c>
      <c r="J833" t="str">
        <f>IF(patients[[#This Row],[age]] &lt; 18,"0-17",IF(patients[[#This Row],[age]] &lt; 40,"18-39",IF(patients[[#This Row],[age]] &lt; 65,"40-64","65+")))</f>
        <v>18-39</v>
      </c>
      <c r="K833" s="1" t="str">
        <f>TEXT(patients[[#This Row],[arrival_date]],"[$-409]mmmm")</f>
        <v>October</v>
      </c>
      <c r="L833" s="1">
        <f>MATCH(K833, {"January";"February";"March";"April";"May";"June";"July";"August";"September";"October";"November";"December"}, 0)</f>
        <v>10</v>
      </c>
      <c r="M833" s="1" t="str" cm="1">
        <f t="array" ref="M833">IF(patients[[#This Row],[length_of_stay]]&gt;patients!$N$2:$N$2,"Over average","Less than average")</f>
        <v>Less than average</v>
      </c>
    </row>
    <row r="834" spans="2:13" x14ac:dyDescent="0.25">
      <c r="B834" s="1" t="s">
        <v>1671</v>
      </c>
      <c r="C834" s="1" t="s">
        <v>1672</v>
      </c>
      <c r="D834">
        <v>81</v>
      </c>
      <c r="E834" s="2">
        <v>45823</v>
      </c>
      <c r="F834" s="2">
        <v>45831</v>
      </c>
      <c r="G834" s="1" t="s">
        <v>20</v>
      </c>
      <c r="H834">
        <v>82</v>
      </c>
      <c r="I834" s="19">
        <f>patients[[#This Row],[departure_date]]-patients[[#This Row],[arrival_date]]</f>
        <v>8</v>
      </c>
      <c r="J834" t="str">
        <f>IF(patients[[#This Row],[age]] &lt; 18,"0-17",IF(patients[[#This Row],[age]] &lt; 40,"18-39",IF(patients[[#This Row],[age]] &lt; 65,"40-64","65+")))</f>
        <v>65+</v>
      </c>
      <c r="K834" s="1" t="str">
        <f>TEXT(patients[[#This Row],[arrival_date]],"[$-409]mmmm")</f>
        <v>June</v>
      </c>
      <c r="L834" s="1">
        <f>MATCH(K834, {"January";"February";"March";"April";"May";"June";"July";"August";"September";"October";"November";"December"}, 0)</f>
        <v>6</v>
      </c>
      <c r="M834" s="1" t="str" cm="1">
        <f t="array" ref="M834">IF(patients[[#This Row],[length_of_stay]]&gt;patients!$N$2:$N$2,"Over average","Less than average")</f>
        <v>Over average</v>
      </c>
    </row>
    <row r="835" spans="2:13" x14ac:dyDescent="0.25">
      <c r="B835" s="1" t="s">
        <v>1673</v>
      </c>
      <c r="C835" s="1" t="s">
        <v>1674</v>
      </c>
      <c r="D835">
        <v>21</v>
      </c>
      <c r="E835" s="2">
        <v>45688</v>
      </c>
      <c r="F835" s="2">
        <v>45695</v>
      </c>
      <c r="G835" s="1" t="s">
        <v>9</v>
      </c>
      <c r="H835">
        <v>70</v>
      </c>
      <c r="I835" s="19">
        <f>patients[[#This Row],[departure_date]]-patients[[#This Row],[arrival_date]]</f>
        <v>7</v>
      </c>
      <c r="J835" t="str">
        <f>IF(patients[[#This Row],[age]] &lt; 18,"0-17",IF(patients[[#This Row],[age]] &lt; 40,"18-39",IF(patients[[#This Row],[age]] &lt; 65,"40-64","65+")))</f>
        <v>18-39</v>
      </c>
      <c r="K835" s="1" t="str">
        <f>TEXT(patients[[#This Row],[arrival_date]],"[$-409]mmmm")</f>
        <v>January</v>
      </c>
      <c r="L835" s="1">
        <f>MATCH(K835, {"January";"February";"March";"April";"May";"June";"July";"August";"September";"October";"November";"December"}, 0)</f>
        <v>1</v>
      </c>
      <c r="M835" s="1" t="str" cm="1">
        <f t="array" ref="M835">IF(patients[[#This Row],[length_of_stay]]&gt;patients!$N$2:$N$2,"Over average","Less than average")</f>
        <v>Less than average</v>
      </c>
    </row>
    <row r="836" spans="2:13" x14ac:dyDescent="0.25">
      <c r="B836" s="1" t="s">
        <v>1675</v>
      </c>
      <c r="C836" s="1" t="s">
        <v>1676</v>
      </c>
      <c r="D836">
        <v>45</v>
      </c>
      <c r="E836" s="2">
        <v>45847</v>
      </c>
      <c r="F836" s="2">
        <v>45852</v>
      </c>
      <c r="G836" s="1" t="s">
        <v>20</v>
      </c>
      <c r="H836">
        <v>97</v>
      </c>
      <c r="I836" s="19">
        <f>patients[[#This Row],[departure_date]]-patients[[#This Row],[arrival_date]]</f>
        <v>5</v>
      </c>
      <c r="J836" t="str">
        <f>IF(patients[[#This Row],[age]] &lt; 18,"0-17",IF(patients[[#This Row],[age]] &lt; 40,"18-39",IF(patients[[#This Row],[age]] &lt; 65,"40-64","65+")))</f>
        <v>40-64</v>
      </c>
      <c r="K836" s="1" t="str">
        <f>TEXT(patients[[#This Row],[arrival_date]],"[$-409]mmmm")</f>
        <v>July</v>
      </c>
      <c r="L836" s="1">
        <f>MATCH(K836, {"January";"February";"March";"April";"May";"June";"July";"August";"September";"October";"November";"December"}, 0)</f>
        <v>7</v>
      </c>
      <c r="M836" s="1" t="str" cm="1">
        <f t="array" ref="M836">IF(patients[[#This Row],[length_of_stay]]&gt;patients!$N$2:$N$2,"Over average","Less than average")</f>
        <v>Less than average</v>
      </c>
    </row>
    <row r="837" spans="2:13" x14ac:dyDescent="0.25">
      <c r="B837" s="1" t="s">
        <v>1677</v>
      </c>
      <c r="C837" s="1" t="s">
        <v>1678</v>
      </c>
      <c r="D837">
        <v>9</v>
      </c>
      <c r="E837" s="2">
        <v>45785</v>
      </c>
      <c r="F837" s="2">
        <v>45799</v>
      </c>
      <c r="G837" s="1" t="s">
        <v>20</v>
      </c>
      <c r="H837">
        <v>83</v>
      </c>
      <c r="I837" s="19">
        <f>patients[[#This Row],[departure_date]]-patients[[#This Row],[arrival_date]]</f>
        <v>14</v>
      </c>
      <c r="J837" t="str">
        <f>IF(patients[[#This Row],[age]] &lt; 18,"0-17",IF(patients[[#This Row],[age]] &lt; 40,"18-39",IF(patients[[#This Row],[age]] &lt; 65,"40-64","65+")))</f>
        <v>0-17</v>
      </c>
      <c r="K837" s="1" t="str">
        <f>TEXT(patients[[#This Row],[arrival_date]],"[$-409]mmmm")</f>
        <v>May</v>
      </c>
      <c r="L837" s="1">
        <f>MATCH(K837, {"January";"February";"March";"April";"May";"June";"July";"August";"September";"October";"November";"December"}, 0)</f>
        <v>5</v>
      </c>
      <c r="M837" s="1" t="str" cm="1">
        <f t="array" ref="M837">IF(patients[[#This Row],[length_of_stay]]&gt;patients!$N$2:$N$2,"Over average","Less than average")</f>
        <v>Over average</v>
      </c>
    </row>
    <row r="838" spans="2:13" x14ac:dyDescent="0.25">
      <c r="B838" s="1" t="s">
        <v>1679</v>
      </c>
      <c r="C838" s="1" t="s">
        <v>1680</v>
      </c>
      <c r="D838">
        <v>43</v>
      </c>
      <c r="E838" s="2">
        <v>45973</v>
      </c>
      <c r="F838" s="2">
        <v>45987</v>
      </c>
      <c r="G838" s="1" t="s">
        <v>20</v>
      </c>
      <c r="H838">
        <v>82</v>
      </c>
      <c r="I838" s="19">
        <f>patients[[#This Row],[departure_date]]-patients[[#This Row],[arrival_date]]</f>
        <v>14</v>
      </c>
      <c r="J838" t="str">
        <f>IF(patients[[#This Row],[age]] &lt; 18,"0-17",IF(patients[[#This Row],[age]] &lt; 40,"18-39",IF(patients[[#This Row],[age]] &lt; 65,"40-64","65+")))</f>
        <v>40-64</v>
      </c>
      <c r="K838" s="1" t="str">
        <f>TEXT(patients[[#This Row],[arrival_date]],"[$-409]mmmm")</f>
        <v>November</v>
      </c>
      <c r="L838" s="1">
        <f>MATCH(K838, {"January";"February";"March";"April";"May";"June";"July";"August";"September";"October";"November";"December"}, 0)</f>
        <v>11</v>
      </c>
      <c r="M838" s="1" t="str" cm="1">
        <f t="array" ref="M838">IF(patients[[#This Row],[length_of_stay]]&gt;patients!$N$2:$N$2,"Over average","Less than average")</f>
        <v>Over average</v>
      </c>
    </row>
    <row r="839" spans="2:13" x14ac:dyDescent="0.25">
      <c r="B839" s="1" t="s">
        <v>1681</v>
      </c>
      <c r="C839" s="1" t="s">
        <v>1682</v>
      </c>
      <c r="D839">
        <v>16</v>
      </c>
      <c r="E839" s="2">
        <v>45904</v>
      </c>
      <c r="F839" s="2">
        <v>45914</v>
      </c>
      <c r="G839" s="1" t="s">
        <v>17</v>
      </c>
      <c r="H839">
        <v>93</v>
      </c>
      <c r="I839" s="19">
        <f>patients[[#This Row],[departure_date]]-patients[[#This Row],[arrival_date]]</f>
        <v>10</v>
      </c>
      <c r="J839" t="str">
        <f>IF(patients[[#This Row],[age]] &lt; 18,"0-17",IF(patients[[#This Row],[age]] &lt; 40,"18-39",IF(patients[[#This Row],[age]] &lt; 65,"40-64","65+")))</f>
        <v>0-17</v>
      </c>
      <c r="K839" s="1" t="str">
        <f>TEXT(patients[[#This Row],[arrival_date]],"[$-409]mmmm")</f>
        <v>September</v>
      </c>
      <c r="L839" s="1">
        <f>MATCH(K839, {"January";"February";"March";"April";"May";"June";"July";"August";"September";"October";"November";"December"}, 0)</f>
        <v>9</v>
      </c>
      <c r="M839" s="1" t="str" cm="1">
        <f t="array" ref="M839">IF(patients[[#This Row],[length_of_stay]]&gt;patients!$N$2:$N$2,"Over average","Less than average")</f>
        <v>Over average</v>
      </c>
    </row>
    <row r="840" spans="2:13" x14ac:dyDescent="0.25">
      <c r="B840" s="1" t="s">
        <v>1683</v>
      </c>
      <c r="C840" s="1" t="s">
        <v>1684</v>
      </c>
      <c r="D840">
        <v>8</v>
      </c>
      <c r="E840" s="2">
        <v>45746</v>
      </c>
      <c r="F840" s="2">
        <v>45748</v>
      </c>
      <c r="G840" s="1" t="s">
        <v>9</v>
      </c>
      <c r="H840">
        <v>71</v>
      </c>
      <c r="I840" s="19">
        <f>patients[[#This Row],[departure_date]]-patients[[#This Row],[arrival_date]]</f>
        <v>2</v>
      </c>
      <c r="J840" t="str">
        <f>IF(patients[[#This Row],[age]] &lt; 18,"0-17",IF(patients[[#This Row],[age]] &lt; 40,"18-39",IF(patients[[#This Row],[age]] &lt; 65,"40-64","65+")))</f>
        <v>0-17</v>
      </c>
      <c r="K840" s="1" t="str">
        <f>TEXT(patients[[#This Row],[arrival_date]],"[$-409]mmmm")</f>
        <v>March</v>
      </c>
      <c r="L840" s="1">
        <f>MATCH(K840, {"January";"February";"March";"April";"May";"June";"July";"August";"September";"October";"November";"December"}, 0)</f>
        <v>3</v>
      </c>
      <c r="M840" s="1" t="str" cm="1">
        <f t="array" ref="M840">IF(patients[[#This Row],[length_of_stay]]&gt;patients!$N$2:$N$2,"Over average","Less than average")</f>
        <v>Less than average</v>
      </c>
    </row>
    <row r="841" spans="2:13" x14ac:dyDescent="0.25">
      <c r="B841" s="1" t="s">
        <v>1685</v>
      </c>
      <c r="C841" s="1" t="s">
        <v>1686</v>
      </c>
      <c r="D841">
        <v>39</v>
      </c>
      <c r="E841" s="2">
        <v>45763</v>
      </c>
      <c r="F841" s="2">
        <v>45770</v>
      </c>
      <c r="G841" s="1" t="s">
        <v>17</v>
      </c>
      <c r="H841">
        <v>98</v>
      </c>
      <c r="I841" s="19">
        <f>patients[[#This Row],[departure_date]]-patients[[#This Row],[arrival_date]]</f>
        <v>7</v>
      </c>
      <c r="J841" t="str">
        <f>IF(patients[[#This Row],[age]] &lt; 18,"0-17",IF(patients[[#This Row],[age]] &lt; 40,"18-39",IF(patients[[#This Row],[age]] &lt; 65,"40-64","65+")))</f>
        <v>18-39</v>
      </c>
      <c r="K841" s="1" t="str">
        <f>TEXT(patients[[#This Row],[arrival_date]],"[$-409]mmmm")</f>
        <v>April</v>
      </c>
      <c r="L841" s="1">
        <f>MATCH(K841, {"January";"February";"March";"April";"May";"June";"July";"August";"September";"October";"November";"December"}, 0)</f>
        <v>4</v>
      </c>
      <c r="M841" s="1" t="str" cm="1">
        <f t="array" ref="M841">IF(patients[[#This Row],[length_of_stay]]&gt;patients!$N$2:$N$2,"Over average","Less than average")</f>
        <v>Less than average</v>
      </c>
    </row>
    <row r="842" spans="2:13" x14ac:dyDescent="0.25">
      <c r="B842" s="1" t="s">
        <v>1687</v>
      </c>
      <c r="C842" s="1" t="s">
        <v>1688</v>
      </c>
      <c r="D842">
        <v>12</v>
      </c>
      <c r="E842" s="2">
        <v>45689</v>
      </c>
      <c r="F842" s="2">
        <v>45698</v>
      </c>
      <c r="G842" s="1" t="s">
        <v>17</v>
      </c>
      <c r="H842">
        <v>99</v>
      </c>
      <c r="I842" s="19">
        <f>patients[[#This Row],[departure_date]]-patients[[#This Row],[arrival_date]]</f>
        <v>9</v>
      </c>
      <c r="J842" t="str">
        <f>IF(patients[[#This Row],[age]] &lt; 18,"0-17",IF(patients[[#This Row],[age]] &lt; 40,"18-39",IF(patients[[#This Row],[age]] &lt; 65,"40-64","65+")))</f>
        <v>0-17</v>
      </c>
      <c r="K842" s="1" t="str">
        <f>TEXT(patients[[#This Row],[arrival_date]],"[$-409]mmmm")</f>
        <v>February</v>
      </c>
      <c r="L842" s="1">
        <f>MATCH(K842, {"January";"February";"March";"April";"May";"June";"July";"August";"September";"October";"November";"December"}, 0)</f>
        <v>2</v>
      </c>
      <c r="M842" s="1" t="str" cm="1">
        <f t="array" ref="M842">IF(patients[[#This Row],[length_of_stay]]&gt;patients!$N$2:$N$2,"Over average","Less than average")</f>
        <v>Over average</v>
      </c>
    </row>
    <row r="843" spans="2:13" x14ac:dyDescent="0.25">
      <c r="B843" s="1" t="s">
        <v>1689</v>
      </c>
      <c r="C843" s="1" t="s">
        <v>1690</v>
      </c>
      <c r="D843">
        <v>19</v>
      </c>
      <c r="E843" s="2">
        <v>45876</v>
      </c>
      <c r="F843" s="2">
        <v>45881</v>
      </c>
      <c r="G843" s="1" t="s">
        <v>9</v>
      </c>
      <c r="H843">
        <v>77</v>
      </c>
      <c r="I843" s="19">
        <f>patients[[#This Row],[departure_date]]-patients[[#This Row],[arrival_date]]</f>
        <v>5</v>
      </c>
      <c r="J843" t="str">
        <f>IF(patients[[#This Row],[age]] &lt; 18,"0-17",IF(patients[[#This Row],[age]] &lt; 40,"18-39",IF(patients[[#This Row],[age]] &lt; 65,"40-64","65+")))</f>
        <v>18-39</v>
      </c>
      <c r="K843" s="1" t="str">
        <f>TEXT(patients[[#This Row],[arrival_date]],"[$-409]mmmm")</f>
        <v>August</v>
      </c>
      <c r="L843" s="1">
        <f>MATCH(K843, {"January";"February";"March";"April";"May";"June";"July";"August";"September";"October";"November";"December"}, 0)</f>
        <v>8</v>
      </c>
      <c r="M843" s="1" t="str" cm="1">
        <f t="array" ref="M843">IF(patients[[#This Row],[length_of_stay]]&gt;patients!$N$2:$N$2,"Over average","Less than average")</f>
        <v>Less than average</v>
      </c>
    </row>
    <row r="844" spans="2:13" x14ac:dyDescent="0.25">
      <c r="B844" s="1" t="s">
        <v>1691</v>
      </c>
      <c r="C844" s="1" t="s">
        <v>1692</v>
      </c>
      <c r="D844">
        <v>76</v>
      </c>
      <c r="E844" s="2">
        <v>45858</v>
      </c>
      <c r="F844" s="2">
        <v>45870</v>
      </c>
      <c r="G844" s="1" t="s">
        <v>20</v>
      </c>
      <c r="H844">
        <v>97</v>
      </c>
      <c r="I844" s="19">
        <f>patients[[#This Row],[departure_date]]-patients[[#This Row],[arrival_date]]</f>
        <v>12</v>
      </c>
      <c r="J844" t="str">
        <f>IF(patients[[#This Row],[age]] &lt; 18,"0-17",IF(patients[[#This Row],[age]] &lt; 40,"18-39",IF(patients[[#This Row],[age]] &lt; 65,"40-64","65+")))</f>
        <v>65+</v>
      </c>
      <c r="K844" s="1" t="str">
        <f>TEXT(patients[[#This Row],[arrival_date]],"[$-409]mmmm")</f>
        <v>July</v>
      </c>
      <c r="L844" s="1">
        <f>MATCH(K844, {"January";"February";"March";"April";"May";"June";"July";"August";"September";"October";"November";"December"}, 0)</f>
        <v>7</v>
      </c>
      <c r="M844" s="1" t="str" cm="1">
        <f t="array" ref="M844">IF(patients[[#This Row],[length_of_stay]]&gt;patients!$N$2:$N$2,"Over average","Less than average")</f>
        <v>Over average</v>
      </c>
    </row>
    <row r="845" spans="2:13" x14ac:dyDescent="0.25">
      <c r="B845" s="1" t="s">
        <v>1693</v>
      </c>
      <c r="C845" s="1" t="s">
        <v>1694</v>
      </c>
      <c r="D845">
        <v>82</v>
      </c>
      <c r="E845" s="2">
        <v>45984</v>
      </c>
      <c r="F845" s="2">
        <v>45993</v>
      </c>
      <c r="G845" s="1" t="s">
        <v>20</v>
      </c>
      <c r="H845">
        <v>94</v>
      </c>
      <c r="I845" s="19">
        <f>patients[[#This Row],[departure_date]]-patients[[#This Row],[arrival_date]]</f>
        <v>9</v>
      </c>
      <c r="J845" t="str">
        <f>IF(patients[[#This Row],[age]] &lt; 18,"0-17",IF(patients[[#This Row],[age]] &lt; 40,"18-39",IF(patients[[#This Row],[age]] &lt; 65,"40-64","65+")))</f>
        <v>65+</v>
      </c>
      <c r="K845" s="1" t="str">
        <f>TEXT(patients[[#This Row],[arrival_date]],"[$-409]mmmm")</f>
        <v>November</v>
      </c>
      <c r="L845" s="1">
        <f>MATCH(K845, {"January";"February";"March";"April";"May";"June";"July";"August";"September";"October";"November";"December"}, 0)</f>
        <v>11</v>
      </c>
      <c r="M845" s="1" t="str" cm="1">
        <f t="array" ref="M845">IF(patients[[#This Row],[length_of_stay]]&gt;patients!$N$2:$N$2,"Over average","Less than average")</f>
        <v>Over average</v>
      </c>
    </row>
    <row r="846" spans="2:13" x14ac:dyDescent="0.25">
      <c r="B846" s="1" t="s">
        <v>1695</v>
      </c>
      <c r="C846" s="1" t="s">
        <v>1696</v>
      </c>
      <c r="D846">
        <v>47</v>
      </c>
      <c r="E846" s="2">
        <v>45952</v>
      </c>
      <c r="F846" s="2">
        <v>45956</v>
      </c>
      <c r="G846" s="1" t="s">
        <v>9</v>
      </c>
      <c r="H846">
        <v>84</v>
      </c>
      <c r="I846" s="19">
        <f>patients[[#This Row],[departure_date]]-patients[[#This Row],[arrival_date]]</f>
        <v>4</v>
      </c>
      <c r="J846" t="str">
        <f>IF(patients[[#This Row],[age]] &lt; 18,"0-17",IF(patients[[#This Row],[age]] &lt; 40,"18-39",IF(patients[[#This Row],[age]] &lt; 65,"40-64","65+")))</f>
        <v>40-64</v>
      </c>
      <c r="K846" s="1" t="str">
        <f>TEXT(patients[[#This Row],[arrival_date]],"[$-409]mmmm")</f>
        <v>October</v>
      </c>
      <c r="L846" s="1">
        <f>MATCH(K846, {"January";"February";"March";"April";"May";"June";"July";"August";"September";"October";"November";"December"}, 0)</f>
        <v>10</v>
      </c>
      <c r="M846" s="1" t="str" cm="1">
        <f t="array" ref="M846">IF(patients[[#This Row],[length_of_stay]]&gt;patients!$N$2:$N$2,"Over average","Less than average")</f>
        <v>Less than average</v>
      </c>
    </row>
    <row r="847" spans="2:13" x14ac:dyDescent="0.25">
      <c r="B847" s="1" t="s">
        <v>1697</v>
      </c>
      <c r="C847" s="1" t="s">
        <v>1698</v>
      </c>
      <c r="D847">
        <v>61</v>
      </c>
      <c r="E847" s="2">
        <v>46022</v>
      </c>
      <c r="F847" s="2">
        <v>46023</v>
      </c>
      <c r="G847" s="1" t="s">
        <v>20</v>
      </c>
      <c r="H847">
        <v>96</v>
      </c>
      <c r="I847" s="19">
        <f>patients[[#This Row],[departure_date]]-patients[[#This Row],[arrival_date]]</f>
        <v>1</v>
      </c>
      <c r="J847" t="str">
        <f>IF(patients[[#This Row],[age]] &lt; 18,"0-17",IF(patients[[#This Row],[age]] &lt; 40,"18-39",IF(patients[[#This Row],[age]] &lt; 65,"40-64","65+")))</f>
        <v>40-64</v>
      </c>
      <c r="K847" s="1" t="str">
        <f>TEXT(patients[[#This Row],[arrival_date]],"[$-409]mmmm")</f>
        <v>December</v>
      </c>
      <c r="L847" s="1">
        <f>MATCH(K847, {"January";"February";"March";"April";"May";"June";"July";"August";"September";"October";"November";"December"}, 0)</f>
        <v>12</v>
      </c>
      <c r="M847" s="1" t="str" cm="1">
        <f t="array" ref="M847">IF(patients[[#This Row],[length_of_stay]]&gt;patients!$N$2:$N$2,"Over average","Less than average")</f>
        <v>Less than average</v>
      </c>
    </row>
    <row r="848" spans="2:13" x14ac:dyDescent="0.25">
      <c r="B848" s="1" t="s">
        <v>1699</v>
      </c>
      <c r="C848" s="1" t="s">
        <v>1700</v>
      </c>
      <c r="D848">
        <v>5</v>
      </c>
      <c r="E848" s="2">
        <v>45734</v>
      </c>
      <c r="F848" s="2">
        <v>45743</v>
      </c>
      <c r="G848" s="1" t="s">
        <v>14</v>
      </c>
      <c r="H848">
        <v>85</v>
      </c>
      <c r="I848" s="19">
        <f>patients[[#This Row],[departure_date]]-patients[[#This Row],[arrival_date]]</f>
        <v>9</v>
      </c>
      <c r="J848" t="str">
        <f>IF(patients[[#This Row],[age]] &lt; 18,"0-17",IF(patients[[#This Row],[age]] &lt; 40,"18-39",IF(patients[[#This Row],[age]] &lt; 65,"40-64","65+")))</f>
        <v>0-17</v>
      </c>
      <c r="K848" s="1" t="str">
        <f>TEXT(patients[[#This Row],[arrival_date]],"[$-409]mmmm")</f>
        <v>March</v>
      </c>
      <c r="L848" s="1">
        <f>MATCH(K848, {"January";"February";"March";"April";"May";"June";"July";"August";"September";"October";"November";"December"}, 0)</f>
        <v>3</v>
      </c>
      <c r="M848" s="1" t="str" cm="1">
        <f t="array" ref="M848">IF(patients[[#This Row],[length_of_stay]]&gt;patients!$N$2:$N$2,"Over average","Less than average")</f>
        <v>Over average</v>
      </c>
    </row>
    <row r="849" spans="2:13" x14ac:dyDescent="0.25">
      <c r="B849" s="1" t="s">
        <v>1701</v>
      </c>
      <c r="C849" s="1" t="s">
        <v>1702</v>
      </c>
      <c r="D849">
        <v>13</v>
      </c>
      <c r="E849" s="2">
        <v>45967</v>
      </c>
      <c r="F849" s="2">
        <v>45971</v>
      </c>
      <c r="G849" s="1" t="s">
        <v>14</v>
      </c>
      <c r="H849">
        <v>98</v>
      </c>
      <c r="I849" s="19">
        <f>patients[[#This Row],[departure_date]]-patients[[#This Row],[arrival_date]]</f>
        <v>4</v>
      </c>
      <c r="J849" t="str">
        <f>IF(patients[[#This Row],[age]] &lt; 18,"0-17",IF(patients[[#This Row],[age]] &lt; 40,"18-39",IF(patients[[#This Row],[age]] &lt; 65,"40-64","65+")))</f>
        <v>0-17</v>
      </c>
      <c r="K849" s="1" t="str">
        <f>TEXT(patients[[#This Row],[arrival_date]],"[$-409]mmmm")</f>
        <v>November</v>
      </c>
      <c r="L849" s="1">
        <f>MATCH(K849, {"January";"February";"March";"April";"May";"June";"July";"August";"September";"October";"November";"December"}, 0)</f>
        <v>11</v>
      </c>
      <c r="M849" s="1" t="str" cm="1">
        <f t="array" ref="M849">IF(patients[[#This Row],[length_of_stay]]&gt;patients!$N$2:$N$2,"Over average","Less than average")</f>
        <v>Less than average</v>
      </c>
    </row>
    <row r="850" spans="2:13" x14ac:dyDescent="0.25">
      <c r="B850" s="1" t="s">
        <v>1703</v>
      </c>
      <c r="C850" s="1" t="s">
        <v>1704</v>
      </c>
      <c r="D850">
        <v>71</v>
      </c>
      <c r="E850" s="2">
        <v>45990</v>
      </c>
      <c r="F850" s="2">
        <v>46001</v>
      </c>
      <c r="G850" s="1" t="s">
        <v>17</v>
      </c>
      <c r="H850">
        <v>97</v>
      </c>
      <c r="I850" s="19">
        <f>patients[[#This Row],[departure_date]]-patients[[#This Row],[arrival_date]]</f>
        <v>11</v>
      </c>
      <c r="J850" t="str">
        <f>IF(patients[[#This Row],[age]] &lt; 18,"0-17",IF(patients[[#This Row],[age]] &lt; 40,"18-39",IF(patients[[#This Row],[age]] &lt; 65,"40-64","65+")))</f>
        <v>65+</v>
      </c>
      <c r="K850" s="1" t="str">
        <f>TEXT(patients[[#This Row],[arrival_date]],"[$-409]mmmm")</f>
        <v>November</v>
      </c>
      <c r="L850" s="1">
        <f>MATCH(K850, {"January";"February";"March";"April";"May";"June";"July";"August";"September";"October";"November";"December"}, 0)</f>
        <v>11</v>
      </c>
      <c r="M850" s="1" t="str" cm="1">
        <f t="array" ref="M850">IF(patients[[#This Row],[length_of_stay]]&gt;patients!$N$2:$N$2,"Over average","Less than average")</f>
        <v>Over average</v>
      </c>
    </row>
    <row r="851" spans="2:13" x14ac:dyDescent="0.25">
      <c r="B851" s="1" t="s">
        <v>1705</v>
      </c>
      <c r="C851" s="1" t="s">
        <v>1706</v>
      </c>
      <c r="D851">
        <v>62</v>
      </c>
      <c r="E851" s="2">
        <v>45777</v>
      </c>
      <c r="F851" s="2">
        <v>45789</v>
      </c>
      <c r="G851" s="1" t="s">
        <v>9</v>
      </c>
      <c r="H851">
        <v>89</v>
      </c>
      <c r="I851" s="19">
        <f>patients[[#This Row],[departure_date]]-patients[[#This Row],[arrival_date]]</f>
        <v>12</v>
      </c>
      <c r="J851" t="str">
        <f>IF(patients[[#This Row],[age]] &lt; 18,"0-17",IF(patients[[#This Row],[age]] &lt; 40,"18-39",IF(patients[[#This Row],[age]] &lt; 65,"40-64","65+")))</f>
        <v>40-64</v>
      </c>
      <c r="K851" s="1" t="str">
        <f>TEXT(patients[[#This Row],[arrival_date]],"[$-409]mmmm")</f>
        <v>April</v>
      </c>
      <c r="L851" s="1">
        <f>MATCH(K851, {"January";"February";"March";"April";"May";"June";"July";"August";"September";"October";"November";"December"}, 0)</f>
        <v>4</v>
      </c>
      <c r="M851" s="1" t="str" cm="1">
        <f t="array" ref="M851">IF(patients[[#This Row],[length_of_stay]]&gt;patients!$N$2:$N$2,"Over average","Less than average")</f>
        <v>Over average</v>
      </c>
    </row>
    <row r="852" spans="2:13" x14ac:dyDescent="0.25">
      <c r="B852" s="1" t="s">
        <v>1707</v>
      </c>
      <c r="C852" s="1" t="s">
        <v>1708</v>
      </c>
      <c r="D852">
        <v>66</v>
      </c>
      <c r="E852" s="2">
        <v>45788</v>
      </c>
      <c r="F852" s="2">
        <v>45801</v>
      </c>
      <c r="G852" s="1" t="s">
        <v>20</v>
      </c>
      <c r="H852">
        <v>93</v>
      </c>
      <c r="I852" s="19">
        <f>patients[[#This Row],[departure_date]]-patients[[#This Row],[arrival_date]]</f>
        <v>13</v>
      </c>
      <c r="J852" t="str">
        <f>IF(patients[[#This Row],[age]] &lt; 18,"0-17",IF(patients[[#This Row],[age]] &lt; 40,"18-39",IF(patients[[#This Row],[age]] &lt; 65,"40-64","65+")))</f>
        <v>65+</v>
      </c>
      <c r="K852" s="1" t="str">
        <f>TEXT(patients[[#This Row],[arrival_date]],"[$-409]mmmm")</f>
        <v>May</v>
      </c>
      <c r="L852" s="1">
        <f>MATCH(K852, {"January";"February";"March";"April";"May";"June";"July";"August";"September";"October";"November";"December"}, 0)</f>
        <v>5</v>
      </c>
      <c r="M852" s="1" t="str" cm="1">
        <f t="array" ref="M852">IF(patients[[#This Row],[length_of_stay]]&gt;patients!$N$2:$N$2,"Over average","Less than average")</f>
        <v>Over average</v>
      </c>
    </row>
    <row r="853" spans="2:13" x14ac:dyDescent="0.25">
      <c r="B853" s="1" t="s">
        <v>1709</v>
      </c>
      <c r="C853" s="1" t="s">
        <v>1710</v>
      </c>
      <c r="D853">
        <v>79</v>
      </c>
      <c r="E853" s="2">
        <v>45753</v>
      </c>
      <c r="F853" s="2">
        <v>45766</v>
      </c>
      <c r="G853" s="1" t="s">
        <v>9</v>
      </c>
      <c r="H853">
        <v>97</v>
      </c>
      <c r="I853" s="19">
        <f>patients[[#This Row],[departure_date]]-patients[[#This Row],[arrival_date]]</f>
        <v>13</v>
      </c>
      <c r="J853" t="str">
        <f>IF(patients[[#This Row],[age]] &lt; 18,"0-17",IF(patients[[#This Row],[age]] &lt; 40,"18-39",IF(patients[[#This Row],[age]] &lt; 65,"40-64","65+")))</f>
        <v>65+</v>
      </c>
      <c r="K853" s="1" t="str">
        <f>TEXT(patients[[#This Row],[arrival_date]],"[$-409]mmmm")</f>
        <v>April</v>
      </c>
      <c r="L853" s="1">
        <f>MATCH(K853, {"January";"February";"March";"April";"May";"June";"July";"August";"September";"October";"November";"December"}, 0)</f>
        <v>4</v>
      </c>
      <c r="M853" s="1" t="str" cm="1">
        <f t="array" ref="M853">IF(patients[[#This Row],[length_of_stay]]&gt;patients!$N$2:$N$2,"Over average","Less than average")</f>
        <v>Over average</v>
      </c>
    </row>
    <row r="854" spans="2:13" x14ac:dyDescent="0.25">
      <c r="B854" s="1" t="s">
        <v>1711</v>
      </c>
      <c r="C854" s="1" t="s">
        <v>1712</v>
      </c>
      <c r="D854">
        <v>71</v>
      </c>
      <c r="E854" s="2">
        <v>45729</v>
      </c>
      <c r="F854" s="2">
        <v>45743</v>
      </c>
      <c r="G854" s="1" t="s">
        <v>14</v>
      </c>
      <c r="H854">
        <v>65</v>
      </c>
      <c r="I854" s="19">
        <f>patients[[#This Row],[departure_date]]-patients[[#This Row],[arrival_date]]</f>
        <v>14</v>
      </c>
      <c r="J854" t="str">
        <f>IF(patients[[#This Row],[age]] &lt; 18,"0-17",IF(patients[[#This Row],[age]] &lt; 40,"18-39",IF(patients[[#This Row],[age]] &lt; 65,"40-64","65+")))</f>
        <v>65+</v>
      </c>
      <c r="K854" s="1" t="str">
        <f>TEXT(patients[[#This Row],[arrival_date]],"[$-409]mmmm")</f>
        <v>March</v>
      </c>
      <c r="L854" s="1">
        <f>MATCH(K854, {"January";"February";"March";"April";"May";"June";"July";"August";"September";"October";"November";"December"}, 0)</f>
        <v>3</v>
      </c>
      <c r="M854" s="1" t="str" cm="1">
        <f t="array" ref="M854">IF(patients[[#This Row],[length_of_stay]]&gt;patients!$N$2:$N$2,"Over average","Less than average")</f>
        <v>Over average</v>
      </c>
    </row>
    <row r="855" spans="2:13" x14ac:dyDescent="0.25">
      <c r="B855" s="1" t="s">
        <v>1713</v>
      </c>
      <c r="C855" s="1" t="s">
        <v>1714</v>
      </c>
      <c r="D855">
        <v>77</v>
      </c>
      <c r="E855" s="2">
        <v>45756</v>
      </c>
      <c r="F855" s="2">
        <v>45766</v>
      </c>
      <c r="G855" s="1" t="s">
        <v>20</v>
      </c>
      <c r="H855">
        <v>62</v>
      </c>
      <c r="I855" s="19">
        <f>patients[[#This Row],[departure_date]]-patients[[#This Row],[arrival_date]]</f>
        <v>10</v>
      </c>
      <c r="J855" t="str">
        <f>IF(patients[[#This Row],[age]] &lt; 18,"0-17",IF(patients[[#This Row],[age]] &lt; 40,"18-39",IF(patients[[#This Row],[age]] &lt; 65,"40-64","65+")))</f>
        <v>65+</v>
      </c>
      <c r="K855" s="1" t="str">
        <f>TEXT(patients[[#This Row],[arrival_date]],"[$-409]mmmm")</f>
        <v>April</v>
      </c>
      <c r="L855" s="1">
        <f>MATCH(K855, {"January";"February";"March";"April";"May";"June";"July";"August";"September";"October";"November";"December"}, 0)</f>
        <v>4</v>
      </c>
      <c r="M855" s="1" t="str" cm="1">
        <f t="array" ref="M855">IF(patients[[#This Row],[length_of_stay]]&gt;patients!$N$2:$N$2,"Over average","Less than average")</f>
        <v>Over average</v>
      </c>
    </row>
    <row r="856" spans="2:13" x14ac:dyDescent="0.25">
      <c r="B856" s="1" t="s">
        <v>1715</v>
      </c>
      <c r="C856" s="1" t="s">
        <v>1716</v>
      </c>
      <c r="D856">
        <v>58</v>
      </c>
      <c r="E856" s="2">
        <v>45834</v>
      </c>
      <c r="F856" s="2">
        <v>45845</v>
      </c>
      <c r="G856" s="1" t="s">
        <v>20</v>
      </c>
      <c r="H856">
        <v>90</v>
      </c>
      <c r="I856" s="19">
        <f>patients[[#This Row],[departure_date]]-patients[[#This Row],[arrival_date]]</f>
        <v>11</v>
      </c>
      <c r="J856" t="str">
        <f>IF(patients[[#This Row],[age]] &lt; 18,"0-17",IF(patients[[#This Row],[age]] &lt; 40,"18-39",IF(patients[[#This Row],[age]] &lt; 65,"40-64","65+")))</f>
        <v>40-64</v>
      </c>
      <c r="K856" s="1" t="str">
        <f>TEXT(patients[[#This Row],[arrival_date]],"[$-409]mmmm")</f>
        <v>June</v>
      </c>
      <c r="L856" s="1">
        <f>MATCH(K856, {"January";"February";"March";"April";"May";"June";"July";"August";"September";"October";"November";"December"}, 0)</f>
        <v>6</v>
      </c>
      <c r="M856" s="1" t="str" cm="1">
        <f t="array" ref="M856">IF(patients[[#This Row],[length_of_stay]]&gt;patients!$N$2:$N$2,"Over average","Less than average")</f>
        <v>Over average</v>
      </c>
    </row>
    <row r="857" spans="2:13" x14ac:dyDescent="0.25">
      <c r="B857" s="1" t="s">
        <v>1717</v>
      </c>
      <c r="C857" s="1" t="s">
        <v>1718</v>
      </c>
      <c r="D857">
        <v>68</v>
      </c>
      <c r="E857" s="2">
        <v>45965</v>
      </c>
      <c r="F857" s="2">
        <v>45974</v>
      </c>
      <c r="G857" s="1" t="s">
        <v>9</v>
      </c>
      <c r="H857">
        <v>90</v>
      </c>
      <c r="I857" s="19">
        <f>patients[[#This Row],[departure_date]]-patients[[#This Row],[arrival_date]]</f>
        <v>9</v>
      </c>
      <c r="J857" t="str">
        <f>IF(patients[[#This Row],[age]] &lt; 18,"0-17",IF(patients[[#This Row],[age]] &lt; 40,"18-39",IF(patients[[#This Row],[age]] &lt; 65,"40-64","65+")))</f>
        <v>65+</v>
      </c>
      <c r="K857" s="1" t="str">
        <f>TEXT(patients[[#This Row],[arrival_date]],"[$-409]mmmm")</f>
        <v>November</v>
      </c>
      <c r="L857" s="1">
        <f>MATCH(K857, {"January";"February";"March";"April";"May";"June";"July";"August";"September";"October";"November";"December"}, 0)</f>
        <v>11</v>
      </c>
      <c r="M857" s="1" t="str" cm="1">
        <f t="array" ref="M857">IF(patients[[#This Row],[length_of_stay]]&gt;patients!$N$2:$N$2,"Over average","Less than average")</f>
        <v>Over average</v>
      </c>
    </row>
    <row r="858" spans="2:13" x14ac:dyDescent="0.25">
      <c r="B858" s="1" t="s">
        <v>1719</v>
      </c>
      <c r="C858" s="1" t="s">
        <v>1720</v>
      </c>
      <c r="D858">
        <v>84</v>
      </c>
      <c r="E858" s="2">
        <v>45741</v>
      </c>
      <c r="F858" s="2">
        <v>45748</v>
      </c>
      <c r="G858" s="1" t="s">
        <v>9</v>
      </c>
      <c r="H858">
        <v>81</v>
      </c>
      <c r="I858" s="19">
        <f>patients[[#This Row],[departure_date]]-patients[[#This Row],[arrival_date]]</f>
        <v>7</v>
      </c>
      <c r="J858" t="str">
        <f>IF(patients[[#This Row],[age]] &lt; 18,"0-17",IF(patients[[#This Row],[age]] &lt; 40,"18-39",IF(patients[[#This Row],[age]] &lt; 65,"40-64","65+")))</f>
        <v>65+</v>
      </c>
      <c r="K858" s="1" t="str">
        <f>TEXT(patients[[#This Row],[arrival_date]],"[$-409]mmmm")</f>
        <v>March</v>
      </c>
      <c r="L858" s="1">
        <f>MATCH(K858, {"January";"February";"March";"April";"May";"June";"July";"August";"September";"October";"November";"December"}, 0)</f>
        <v>3</v>
      </c>
      <c r="M858" s="1" t="str" cm="1">
        <f t="array" ref="M858">IF(patients[[#This Row],[length_of_stay]]&gt;patients!$N$2:$N$2,"Over average","Less than average")</f>
        <v>Less than average</v>
      </c>
    </row>
    <row r="859" spans="2:13" x14ac:dyDescent="0.25">
      <c r="B859" s="1" t="s">
        <v>1721</v>
      </c>
      <c r="C859" s="1" t="s">
        <v>1722</v>
      </c>
      <c r="D859">
        <v>3</v>
      </c>
      <c r="E859" s="2">
        <v>45702</v>
      </c>
      <c r="F859" s="2">
        <v>45712</v>
      </c>
      <c r="G859" s="1" t="s">
        <v>17</v>
      </c>
      <c r="H859">
        <v>79</v>
      </c>
      <c r="I859" s="19">
        <f>patients[[#This Row],[departure_date]]-patients[[#This Row],[arrival_date]]</f>
        <v>10</v>
      </c>
      <c r="J859" t="str">
        <f>IF(patients[[#This Row],[age]] &lt; 18,"0-17",IF(patients[[#This Row],[age]] &lt; 40,"18-39",IF(patients[[#This Row],[age]] &lt; 65,"40-64","65+")))</f>
        <v>0-17</v>
      </c>
      <c r="K859" s="1" t="str">
        <f>TEXT(patients[[#This Row],[arrival_date]],"[$-409]mmmm")</f>
        <v>February</v>
      </c>
      <c r="L859" s="1">
        <f>MATCH(K859, {"January";"February";"March";"April";"May";"June";"July";"August";"September";"October";"November";"December"}, 0)</f>
        <v>2</v>
      </c>
      <c r="M859" s="1" t="str" cm="1">
        <f t="array" ref="M859">IF(patients[[#This Row],[length_of_stay]]&gt;patients!$N$2:$N$2,"Over average","Less than average")</f>
        <v>Over average</v>
      </c>
    </row>
    <row r="860" spans="2:13" x14ac:dyDescent="0.25">
      <c r="B860" s="1" t="s">
        <v>1723</v>
      </c>
      <c r="C860" s="1" t="s">
        <v>1724</v>
      </c>
      <c r="D860">
        <v>76</v>
      </c>
      <c r="E860" s="2">
        <v>45930</v>
      </c>
      <c r="F860" s="2">
        <v>45938</v>
      </c>
      <c r="G860" s="1" t="s">
        <v>17</v>
      </c>
      <c r="H860">
        <v>67</v>
      </c>
      <c r="I860" s="19">
        <f>patients[[#This Row],[departure_date]]-patients[[#This Row],[arrival_date]]</f>
        <v>8</v>
      </c>
      <c r="J860" t="str">
        <f>IF(patients[[#This Row],[age]] &lt; 18,"0-17",IF(patients[[#This Row],[age]] &lt; 40,"18-39",IF(patients[[#This Row],[age]] &lt; 65,"40-64","65+")))</f>
        <v>65+</v>
      </c>
      <c r="K860" s="1" t="str">
        <f>TEXT(patients[[#This Row],[arrival_date]],"[$-409]mmmm")</f>
        <v>September</v>
      </c>
      <c r="L860" s="1">
        <f>MATCH(K860, {"January";"February";"March";"April";"May";"June";"July";"August";"September";"October";"November";"December"}, 0)</f>
        <v>9</v>
      </c>
      <c r="M860" s="1" t="str" cm="1">
        <f t="array" ref="M860">IF(patients[[#This Row],[length_of_stay]]&gt;patients!$N$2:$N$2,"Over average","Less than average")</f>
        <v>Over average</v>
      </c>
    </row>
    <row r="861" spans="2:13" x14ac:dyDescent="0.25">
      <c r="B861" s="1" t="s">
        <v>1725</v>
      </c>
      <c r="C861" s="1" t="s">
        <v>1726</v>
      </c>
      <c r="D861">
        <v>22</v>
      </c>
      <c r="E861" s="2">
        <v>45985</v>
      </c>
      <c r="F861" s="2">
        <v>45993</v>
      </c>
      <c r="G861" s="1" t="s">
        <v>9</v>
      </c>
      <c r="H861">
        <v>85</v>
      </c>
      <c r="I861" s="19">
        <f>patients[[#This Row],[departure_date]]-patients[[#This Row],[arrival_date]]</f>
        <v>8</v>
      </c>
      <c r="J861" t="str">
        <f>IF(patients[[#This Row],[age]] &lt; 18,"0-17",IF(patients[[#This Row],[age]] &lt; 40,"18-39",IF(patients[[#This Row],[age]] &lt; 65,"40-64","65+")))</f>
        <v>18-39</v>
      </c>
      <c r="K861" s="1" t="str">
        <f>TEXT(patients[[#This Row],[arrival_date]],"[$-409]mmmm")</f>
        <v>November</v>
      </c>
      <c r="L861" s="1">
        <f>MATCH(K861, {"January";"February";"March";"April";"May";"June";"July";"August";"September";"October";"November";"December"}, 0)</f>
        <v>11</v>
      </c>
      <c r="M861" s="1" t="str" cm="1">
        <f t="array" ref="M861">IF(patients[[#This Row],[length_of_stay]]&gt;patients!$N$2:$N$2,"Over average","Less than average")</f>
        <v>Over average</v>
      </c>
    </row>
    <row r="862" spans="2:13" x14ac:dyDescent="0.25">
      <c r="B862" s="1" t="s">
        <v>1727</v>
      </c>
      <c r="C862" s="1" t="s">
        <v>1728</v>
      </c>
      <c r="D862">
        <v>58</v>
      </c>
      <c r="E862" s="2">
        <v>45886</v>
      </c>
      <c r="F862" s="2">
        <v>45887</v>
      </c>
      <c r="G862" s="1" t="s">
        <v>17</v>
      </c>
      <c r="H862">
        <v>87</v>
      </c>
      <c r="I862" s="19">
        <f>patients[[#This Row],[departure_date]]-patients[[#This Row],[arrival_date]]</f>
        <v>1</v>
      </c>
      <c r="J862" t="str">
        <f>IF(patients[[#This Row],[age]] &lt; 18,"0-17",IF(patients[[#This Row],[age]] &lt; 40,"18-39",IF(patients[[#This Row],[age]] &lt; 65,"40-64","65+")))</f>
        <v>40-64</v>
      </c>
      <c r="K862" s="1" t="str">
        <f>TEXT(patients[[#This Row],[arrival_date]],"[$-409]mmmm")</f>
        <v>August</v>
      </c>
      <c r="L862" s="1">
        <f>MATCH(K862, {"January";"February";"March";"April";"May";"June";"July";"August";"September";"October";"November";"December"}, 0)</f>
        <v>8</v>
      </c>
      <c r="M862" s="1" t="str" cm="1">
        <f t="array" ref="M862">IF(patients[[#This Row],[length_of_stay]]&gt;patients!$N$2:$N$2,"Over average","Less than average")</f>
        <v>Less than average</v>
      </c>
    </row>
    <row r="863" spans="2:13" x14ac:dyDescent="0.25">
      <c r="B863" s="1" t="s">
        <v>1729</v>
      </c>
      <c r="C863" s="1" t="s">
        <v>1730</v>
      </c>
      <c r="D863">
        <v>88</v>
      </c>
      <c r="E863" s="2">
        <v>45929</v>
      </c>
      <c r="F863" s="2">
        <v>45936</v>
      </c>
      <c r="G863" s="1" t="s">
        <v>17</v>
      </c>
      <c r="H863">
        <v>61</v>
      </c>
      <c r="I863" s="19">
        <f>patients[[#This Row],[departure_date]]-patients[[#This Row],[arrival_date]]</f>
        <v>7</v>
      </c>
      <c r="J863" t="str">
        <f>IF(patients[[#This Row],[age]] &lt; 18,"0-17",IF(patients[[#This Row],[age]] &lt; 40,"18-39",IF(patients[[#This Row],[age]] &lt; 65,"40-64","65+")))</f>
        <v>65+</v>
      </c>
      <c r="K863" s="1" t="str">
        <f>TEXT(patients[[#This Row],[arrival_date]],"[$-409]mmmm")</f>
        <v>September</v>
      </c>
      <c r="L863" s="1">
        <f>MATCH(K863, {"January";"February";"March";"April";"May";"June";"July";"August";"September";"October";"November";"December"}, 0)</f>
        <v>9</v>
      </c>
      <c r="M863" s="1" t="str" cm="1">
        <f t="array" ref="M863">IF(patients[[#This Row],[length_of_stay]]&gt;patients!$N$2:$N$2,"Over average","Less than average")</f>
        <v>Less than average</v>
      </c>
    </row>
    <row r="864" spans="2:13" x14ac:dyDescent="0.25">
      <c r="B864" s="1" t="s">
        <v>1731</v>
      </c>
      <c r="C864" s="1" t="s">
        <v>1732</v>
      </c>
      <c r="D864">
        <v>81</v>
      </c>
      <c r="E864" s="2">
        <v>45943</v>
      </c>
      <c r="F864" s="2">
        <v>45950</v>
      </c>
      <c r="G864" s="1" t="s">
        <v>14</v>
      </c>
      <c r="H864">
        <v>72</v>
      </c>
      <c r="I864" s="19">
        <f>patients[[#This Row],[departure_date]]-patients[[#This Row],[arrival_date]]</f>
        <v>7</v>
      </c>
      <c r="J864" t="str">
        <f>IF(patients[[#This Row],[age]] &lt; 18,"0-17",IF(patients[[#This Row],[age]] &lt; 40,"18-39",IF(patients[[#This Row],[age]] &lt; 65,"40-64","65+")))</f>
        <v>65+</v>
      </c>
      <c r="K864" s="1" t="str">
        <f>TEXT(patients[[#This Row],[arrival_date]],"[$-409]mmmm")</f>
        <v>October</v>
      </c>
      <c r="L864" s="1">
        <f>MATCH(K864, {"January";"February";"March";"April";"May";"June";"July";"August";"September";"October";"November";"December"}, 0)</f>
        <v>10</v>
      </c>
      <c r="M864" s="1" t="str" cm="1">
        <f t="array" ref="M864">IF(patients[[#This Row],[length_of_stay]]&gt;patients!$N$2:$N$2,"Over average","Less than average")</f>
        <v>Less than average</v>
      </c>
    </row>
    <row r="865" spans="2:13" x14ac:dyDescent="0.25">
      <c r="B865" s="1" t="s">
        <v>1733</v>
      </c>
      <c r="C865" s="1" t="s">
        <v>1734</v>
      </c>
      <c r="D865">
        <v>81</v>
      </c>
      <c r="E865" s="2">
        <v>45828</v>
      </c>
      <c r="F865" s="2">
        <v>45833</v>
      </c>
      <c r="G865" s="1" t="s">
        <v>17</v>
      </c>
      <c r="H865">
        <v>89</v>
      </c>
      <c r="I865" s="19">
        <f>patients[[#This Row],[departure_date]]-patients[[#This Row],[arrival_date]]</f>
        <v>5</v>
      </c>
      <c r="J865" t="str">
        <f>IF(patients[[#This Row],[age]] &lt; 18,"0-17",IF(patients[[#This Row],[age]] &lt; 40,"18-39",IF(patients[[#This Row],[age]] &lt; 65,"40-64","65+")))</f>
        <v>65+</v>
      </c>
      <c r="K865" s="1" t="str">
        <f>TEXT(patients[[#This Row],[arrival_date]],"[$-409]mmmm")</f>
        <v>June</v>
      </c>
      <c r="L865" s="1">
        <f>MATCH(K865, {"January";"February";"March";"April";"May";"June";"July";"August";"September";"October";"November";"December"}, 0)</f>
        <v>6</v>
      </c>
      <c r="M865" s="1" t="str" cm="1">
        <f t="array" ref="M865">IF(patients[[#This Row],[length_of_stay]]&gt;patients!$N$2:$N$2,"Over average","Less than average")</f>
        <v>Less than average</v>
      </c>
    </row>
    <row r="866" spans="2:13" x14ac:dyDescent="0.25">
      <c r="B866" s="1" t="s">
        <v>1735</v>
      </c>
      <c r="C866" s="1" t="s">
        <v>1736</v>
      </c>
      <c r="D866">
        <v>20</v>
      </c>
      <c r="E866" s="2">
        <v>45712</v>
      </c>
      <c r="F866" s="2">
        <v>45713</v>
      </c>
      <c r="G866" s="1" t="s">
        <v>20</v>
      </c>
      <c r="H866">
        <v>99</v>
      </c>
      <c r="I866" s="19">
        <f>patients[[#This Row],[departure_date]]-patients[[#This Row],[arrival_date]]</f>
        <v>1</v>
      </c>
      <c r="J866" t="str">
        <f>IF(patients[[#This Row],[age]] &lt; 18,"0-17",IF(patients[[#This Row],[age]] &lt; 40,"18-39",IF(patients[[#This Row],[age]] &lt; 65,"40-64","65+")))</f>
        <v>18-39</v>
      </c>
      <c r="K866" s="1" t="str">
        <f>TEXT(patients[[#This Row],[arrival_date]],"[$-409]mmmm")</f>
        <v>February</v>
      </c>
      <c r="L866" s="1">
        <f>MATCH(K866, {"January";"February";"March";"April";"May";"June";"July";"August";"September";"October";"November";"December"}, 0)</f>
        <v>2</v>
      </c>
      <c r="M866" s="1" t="str" cm="1">
        <f t="array" ref="M866">IF(patients[[#This Row],[length_of_stay]]&gt;patients!$N$2:$N$2,"Over average","Less than average")</f>
        <v>Less than average</v>
      </c>
    </row>
    <row r="867" spans="2:13" x14ac:dyDescent="0.25">
      <c r="B867" s="1" t="s">
        <v>1737</v>
      </c>
      <c r="C867" s="1" t="s">
        <v>1738</v>
      </c>
      <c r="D867">
        <v>82</v>
      </c>
      <c r="E867" s="2">
        <v>45800</v>
      </c>
      <c r="F867" s="2">
        <v>45809</v>
      </c>
      <c r="G867" s="1" t="s">
        <v>20</v>
      </c>
      <c r="H867">
        <v>69</v>
      </c>
      <c r="I867" s="19">
        <f>patients[[#This Row],[departure_date]]-patients[[#This Row],[arrival_date]]</f>
        <v>9</v>
      </c>
      <c r="J867" t="str">
        <f>IF(patients[[#This Row],[age]] &lt; 18,"0-17",IF(patients[[#This Row],[age]] &lt; 40,"18-39",IF(patients[[#This Row],[age]] &lt; 65,"40-64","65+")))</f>
        <v>65+</v>
      </c>
      <c r="K867" s="1" t="str">
        <f>TEXT(patients[[#This Row],[arrival_date]],"[$-409]mmmm")</f>
        <v>May</v>
      </c>
      <c r="L867" s="1">
        <f>MATCH(K867, {"January";"February";"March";"April";"May";"June";"July";"August";"September";"October";"November";"December"}, 0)</f>
        <v>5</v>
      </c>
      <c r="M867" s="1" t="str" cm="1">
        <f t="array" ref="M867">IF(patients[[#This Row],[length_of_stay]]&gt;patients!$N$2:$N$2,"Over average","Less than average")</f>
        <v>Over average</v>
      </c>
    </row>
    <row r="868" spans="2:13" x14ac:dyDescent="0.25">
      <c r="B868" s="1" t="s">
        <v>1739</v>
      </c>
      <c r="C868" s="1" t="s">
        <v>1740</v>
      </c>
      <c r="D868">
        <v>52</v>
      </c>
      <c r="E868" s="2">
        <v>45837</v>
      </c>
      <c r="F868" s="2">
        <v>45851</v>
      </c>
      <c r="G868" s="1" t="s">
        <v>14</v>
      </c>
      <c r="H868">
        <v>92</v>
      </c>
      <c r="I868" s="19">
        <f>patients[[#This Row],[departure_date]]-patients[[#This Row],[arrival_date]]</f>
        <v>14</v>
      </c>
      <c r="J868" t="str">
        <f>IF(patients[[#This Row],[age]] &lt; 18,"0-17",IF(patients[[#This Row],[age]] &lt; 40,"18-39",IF(patients[[#This Row],[age]] &lt; 65,"40-64","65+")))</f>
        <v>40-64</v>
      </c>
      <c r="K868" s="1" t="str">
        <f>TEXT(patients[[#This Row],[arrival_date]],"[$-409]mmmm")</f>
        <v>June</v>
      </c>
      <c r="L868" s="1">
        <f>MATCH(K868, {"January";"February";"March";"April";"May";"June";"July";"August";"September";"October";"November";"December"}, 0)</f>
        <v>6</v>
      </c>
      <c r="M868" s="1" t="str" cm="1">
        <f t="array" ref="M868">IF(patients[[#This Row],[length_of_stay]]&gt;patients!$N$2:$N$2,"Over average","Less than average")</f>
        <v>Over average</v>
      </c>
    </row>
    <row r="869" spans="2:13" x14ac:dyDescent="0.25">
      <c r="B869" s="1" t="s">
        <v>1741</v>
      </c>
      <c r="C869" s="1" t="s">
        <v>1742</v>
      </c>
      <c r="D869">
        <v>56</v>
      </c>
      <c r="E869" s="2">
        <v>45794</v>
      </c>
      <c r="F869" s="2">
        <v>45800</v>
      </c>
      <c r="G869" s="1" t="s">
        <v>20</v>
      </c>
      <c r="H869">
        <v>60</v>
      </c>
      <c r="I869" s="19">
        <f>patients[[#This Row],[departure_date]]-patients[[#This Row],[arrival_date]]</f>
        <v>6</v>
      </c>
      <c r="J869" t="str">
        <f>IF(patients[[#This Row],[age]] &lt; 18,"0-17",IF(patients[[#This Row],[age]] &lt; 40,"18-39",IF(patients[[#This Row],[age]] &lt; 65,"40-64","65+")))</f>
        <v>40-64</v>
      </c>
      <c r="K869" s="1" t="str">
        <f>TEXT(patients[[#This Row],[arrival_date]],"[$-409]mmmm")</f>
        <v>May</v>
      </c>
      <c r="L869" s="1">
        <f>MATCH(K869, {"January";"February";"March";"April";"May";"June";"July";"August";"September";"October";"November";"December"}, 0)</f>
        <v>5</v>
      </c>
      <c r="M869" s="1" t="str" cm="1">
        <f t="array" ref="M869">IF(patients[[#This Row],[length_of_stay]]&gt;patients!$N$2:$N$2,"Over average","Less than average")</f>
        <v>Less than average</v>
      </c>
    </row>
    <row r="870" spans="2:13" x14ac:dyDescent="0.25">
      <c r="B870" s="1" t="s">
        <v>1743</v>
      </c>
      <c r="C870" s="1" t="s">
        <v>1744</v>
      </c>
      <c r="D870">
        <v>43</v>
      </c>
      <c r="E870" s="2">
        <v>45988</v>
      </c>
      <c r="F870" s="2">
        <v>45990</v>
      </c>
      <c r="G870" s="1" t="s">
        <v>14</v>
      </c>
      <c r="H870">
        <v>75</v>
      </c>
      <c r="I870" s="19">
        <f>patients[[#This Row],[departure_date]]-patients[[#This Row],[arrival_date]]</f>
        <v>2</v>
      </c>
      <c r="J870" t="str">
        <f>IF(patients[[#This Row],[age]] &lt; 18,"0-17",IF(patients[[#This Row],[age]] &lt; 40,"18-39",IF(patients[[#This Row],[age]] &lt; 65,"40-64","65+")))</f>
        <v>40-64</v>
      </c>
      <c r="K870" s="1" t="str">
        <f>TEXT(patients[[#This Row],[arrival_date]],"[$-409]mmmm")</f>
        <v>November</v>
      </c>
      <c r="L870" s="1">
        <f>MATCH(K870, {"January";"February";"March";"April";"May";"June";"July";"August";"September";"October";"November";"December"}, 0)</f>
        <v>11</v>
      </c>
      <c r="M870" s="1" t="str" cm="1">
        <f t="array" ref="M870">IF(patients[[#This Row],[length_of_stay]]&gt;patients!$N$2:$N$2,"Over average","Less than average")</f>
        <v>Less than average</v>
      </c>
    </row>
    <row r="871" spans="2:13" x14ac:dyDescent="0.25">
      <c r="B871" s="1" t="s">
        <v>1745</v>
      </c>
      <c r="C871" s="1" t="s">
        <v>1746</v>
      </c>
      <c r="D871">
        <v>8</v>
      </c>
      <c r="E871" s="2">
        <v>45928</v>
      </c>
      <c r="F871" s="2">
        <v>45940</v>
      </c>
      <c r="G871" s="1" t="s">
        <v>20</v>
      </c>
      <c r="H871">
        <v>92</v>
      </c>
      <c r="I871" s="19">
        <f>patients[[#This Row],[departure_date]]-patients[[#This Row],[arrival_date]]</f>
        <v>12</v>
      </c>
      <c r="J871" t="str">
        <f>IF(patients[[#This Row],[age]] &lt; 18,"0-17",IF(patients[[#This Row],[age]] &lt; 40,"18-39",IF(patients[[#This Row],[age]] &lt; 65,"40-64","65+")))</f>
        <v>0-17</v>
      </c>
      <c r="K871" s="1" t="str">
        <f>TEXT(patients[[#This Row],[arrival_date]],"[$-409]mmmm")</f>
        <v>September</v>
      </c>
      <c r="L871" s="1">
        <f>MATCH(K871, {"January";"February";"March";"April";"May";"June";"July";"August";"September";"October";"November";"December"}, 0)</f>
        <v>9</v>
      </c>
      <c r="M871" s="1" t="str" cm="1">
        <f t="array" ref="M871">IF(patients[[#This Row],[length_of_stay]]&gt;patients!$N$2:$N$2,"Over average","Less than average")</f>
        <v>Over average</v>
      </c>
    </row>
    <row r="872" spans="2:13" x14ac:dyDescent="0.25">
      <c r="B872" s="1" t="s">
        <v>1747</v>
      </c>
      <c r="C872" s="1" t="s">
        <v>1748</v>
      </c>
      <c r="D872">
        <v>77</v>
      </c>
      <c r="E872" s="2">
        <v>45729</v>
      </c>
      <c r="F872" s="2">
        <v>45740</v>
      </c>
      <c r="G872" s="1" t="s">
        <v>17</v>
      </c>
      <c r="H872">
        <v>71</v>
      </c>
      <c r="I872" s="19">
        <f>patients[[#This Row],[departure_date]]-patients[[#This Row],[arrival_date]]</f>
        <v>11</v>
      </c>
      <c r="J872" t="str">
        <f>IF(patients[[#This Row],[age]] &lt; 18,"0-17",IF(patients[[#This Row],[age]] &lt; 40,"18-39",IF(patients[[#This Row],[age]] &lt; 65,"40-64","65+")))</f>
        <v>65+</v>
      </c>
      <c r="K872" s="1" t="str">
        <f>TEXT(patients[[#This Row],[arrival_date]],"[$-409]mmmm")</f>
        <v>March</v>
      </c>
      <c r="L872" s="1">
        <f>MATCH(K872, {"January";"February";"March";"April";"May";"June";"July";"August";"September";"October";"November";"December"}, 0)</f>
        <v>3</v>
      </c>
      <c r="M872" s="1" t="str" cm="1">
        <f t="array" ref="M872">IF(patients[[#This Row],[length_of_stay]]&gt;patients!$N$2:$N$2,"Over average","Less than average")</f>
        <v>Over average</v>
      </c>
    </row>
    <row r="873" spans="2:13" x14ac:dyDescent="0.25">
      <c r="B873" s="1" t="s">
        <v>1749</v>
      </c>
      <c r="C873" s="1" t="s">
        <v>1750</v>
      </c>
      <c r="D873">
        <v>64</v>
      </c>
      <c r="E873" s="2">
        <v>45889</v>
      </c>
      <c r="F873" s="2">
        <v>45899</v>
      </c>
      <c r="G873" s="1" t="s">
        <v>14</v>
      </c>
      <c r="H873">
        <v>70</v>
      </c>
      <c r="I873" s="19">
        <f>patients[[#This Row],[departure_date]]-patients[[#This Row],[arrival_date]]</f>
        <v>10</v>
      </c>
      <c r="J873" t="str">
        <f>IF(patients[[#This Row],[age]] &lt; 18,"0-17",IF(patients[[#This Row],[age]] &lt; 40,"18-39",IF(patients[[#This Row],[age]] &lt; 65,"40-64","65+")))</f>
        <v>40-64</v>
      </c>
      <c r="K873" s="1" t="str">
        <f>TEXT(patients[[#This Row],[arrival_date]],"[$-409]mmmm")</f>
        <v>August</v>
      </c>
      <c r="L873" s="1">
        <f>MATCH(K873, {"January";"February";"March";"April";"May";"June";"July";"August";"September";"October";"November";"December"}, 0)</f>
        <v>8</v>
      </c>
      <c r="M873" s="1" t="str" cm="1">
        <f t="array" ref="M873">IF(patients[[#This Row],[length_of_stay]]&gt;patients!$N$2:$N$2,"Over average","Less than average")</f>
        <v>Over average</v>
      </c>
    </row>
    <row r="874" spans="2:13" x14ac:dyDescent="0.25">
      <c r="B874" s="1" t="s">
        <v>1751</v>
      </c>
      <c r="C874" s="1" t="s">
        <v>1752</v>
      </c>
      <c r="D874">
        <v>42</v>
      </c>
      <c r="E874" s="2">
        <v>45930</v>
      </c>
      <c r="F874" s="2">
        <v>45931</v>
      </c>
      <c r="G874" s="1" t="s">
        <v>14</v>
      </c>
      <c r="H874">
        <v>91</v>
      </c>
      <c r="I874" s="19">
        <f>patients[[#This Row],[departure_date]]-patients[[#This Row],[arrival_date]]</f>
        <v>1</v>
      </c>
      <c r="J874" t="str">
        <f>IF(patients[[#This Row],[age]] &lt; 18,"0-17",IF(patients[[#This Row],[age]] &lt; 40,"18-39",IF(patients[[#This Row],[age]] &lt; 65,"40-64","65+")))</f>
        <v>40-64</v>
      </c>
      <c r="K874" s="1" t="str">
        <f>TEXT(patients[[#This Row],[arrival_date]],"[$-409]mmmm")</f>
        <v>September</v>
      </c>
      <c r="L874" s="1">
        <f>MATCH(K874, {"January";"February";"March";"April";"May";"June";"July";"August";"September";"October";"November";"December"}, 0)</f>
        <v>9</v>
      </c>
      <c r="M874" s="1" t="str" cm="1">
        <f t="array" ref="M874">IF(patients[[#This Row],[length_of_stay]]&gt;patients!$N$2:$N$2,"Over average","Less than average")</f>
        <v>Less than average</v>
      </c>
    </row>
    <row r="875" spans="2:13" x14ac:dyDescent="0.25">
      <c r="B875" s="1" t="s">
        <v>1753</v>
      </c>
      <c r="C875" s="1" t="s">
        <v>1754</v>
      </c>
      <c r="D875">
        <v>84</v>
      </c>
      <c r="E875" s="2">
        <v>45713</v>
      </c>
      <c r="F875" s="2">
        <v>45719</v>
      </c>
      <c r="G875" s="1" t="s">
        <v>17</v>
      </c>
      <c r="H875">
        <v>81</v>
      </c>
      <c r="I875" s="19">
        <f>patients[[#This Row],[departure_date]]-patients[[#This Row],[arrival_date]]</f>
        <v>6</v>
      </c>
      <c r="J875" t="str">
        <f>IF(patients[[#This Row],[age]] &lt; 18,"0-17",IF(patients[[#This Row],[age]] &lt; 40,"18-39",IF(patients[[#This Row],[age]] &lt; 65,"40-64","65+")))</f>
        <v>65+</v>
      </c>
      <c r="K875" s="1" t="str">
        <f>TEXT(patients[[#This Row],[arrival_date]],"[$-409]mmmm")</f>
        <v>February</v>
      </c>
      <c r="L875" s="1">
        <f>MATCH(K875, {"January";"February";"March";"April";"May";"June";"July";"August";"September";"October";"November";"December"}, 0)</f>
        <v>2</v>
      </c>
      <c r="M875" s="1" t="str" cm="1">
        <f t="array" ref="M875">IF(patients[[#This Row],[length_of_stay]]&gt;patients!$N$2:$N$2,"Over average","Less than average")</f>
        <v>Less than average</v>
      </c>
    </row>
    <row r="876" spans="2:13" x14ac:dyDescent="0.25">
      <c r="B876" s="1" t="s">
        <v>1755</v>
      </c>
      <c r="C876" s="1" t="s">
        <v>1756</v>
      </c>
      <c r="D876">
        <v>49</v>
      </c>
      <c r="E876" s="2">
        <v>45849</v>
      </c>
      <c r="F876" s="2">
        <v>45852</v>
      </c>
      <c r="G876" s="1" t="s">
        <v>9</v>
      </c>
      <c r="H876">
        <v>67</v>
      </c>
      <c r="I876" s="19">
        <f>patients[[#This Row],[departure_date]]-patients[[#This Row],[arrival_date]]</f>
        <v>3</v>
      </c>
      <c r="J876" t="str">
        <f>IF(patients[[#This Row],[age]] &lt; 18,"0-17",IF(patients[[#This Row],[age]] &lt; 40,"18-39",IF(patients[[#This Row],[age]] &lt; 65,"40-64","65+")))</f>
        <v>40-64</v>
      </c>
      <c r="K876" s="1" t="str">
        <f>TEXT(patients[[#This Row],[arrival_date]],"[$-409]mmmm")</f>
        <v>July</v>
      </c>
      <c r="L876" s="1">
        <f>MATCH(K876, {"January";"February";"March";"April";"May";"June";"July";"August";"September";"October";"November";"December"}, 0)</f>
        <v>7</v>
      </c>
      <c r="M876" s="1" t="str" cm="1">
        <f t="array" ref="M876">IF(patients[[#This Row],[length_of_stay]]&gt;patients!$N$2:$N$2,"Over average","Less than average")</f>
        <v>Less than average</v>
      </c>
    </row>
    <row r="877" spans="2:13" x14ac:dyDescent="0.25">
      <c r="B877" s="1" t="s">
        <v>1757</v>
      </c>
      <c r="C877" s="1" t="s">
        <v>1758</v>
      </c>
      <c r="D877">
        <v>48</v>
      </c>
      <c r="E877" s="2">
        <v>45796</v>
      </c>
      <c r="F877" s="2">
        <v>45804</v>
      </c>
      <c r="G877" s="1" t="s">
        <v>14</v>
      </c>
      <c r="H877">
        <v>80</v>
      </c>
      <c r="I877" s="19">
        <f>patients[[#This Row],[departure_date]]-patients[[#This Row],[arrival_date]]</f>
        <v>8</v>
      </c>
      <c r="J877" t="str">
        <f>IF(patients[[#This Row],[age]] &lt; 18,"0-17",IF(patients[[#This Row],[age]] &lt; 40,"18-39",IF(patients[[#This Row],[age]] &lt; 65,"40-64","65+")))</f>
        <v>40-64</v>
      </c>
      <c r="K877" s="1" t="str">
        <f>TEXT(patients[[#This Row],[arrival_date]],"[$-409]mmmm")</f>
        <v>May</v>
      </c>
      <c r="L877" s="1">
        <f>MATCH(K877, {"January";"February";"March";"April";"May";"June";"July";"August";"September";"October";"November";"December"}, 0)</f>
        <v>5</v>
      </c>
      <c r="M877" s="1" t="str" cm="1">
        <f t="array" ref="M877">IF(patients[[#This Row],[length_of_stay]]&gt;patients!$N$2:$N$2,"Over average","Less than average")</f>
        <v>Over average</v>
      </c>
    </row>
    <row r="878" spans="2:13" x14ac:dyDescent="0.25">
      <c r="B878" s="1" t="s">
        <v>1759</v>
      </c>
      <c r="C878" s="1" t="s">
        <v>1760</v>
      </c>
      <c r="D878">
        <v>65</v>
      </c>
      <c r="E878" s="2">
        <v>45761</v>
      </c>
      <c r="F878" s="2">
        <v>45764</v>
      </c>
      <c r="G878" s="1" t="s">
        <v>14</v>
      </c>
      <c r="H878">
        <v>98</v>
      </c>
      <c r="I878" s="19">
        <f>patients[[#This Row],[departure_date]]-patients[[#This Row],[arrival_date]]</f>
        <v>3</v>
      </c>
      <c r="J878" t="str">
        <f>IF(patients[[#This Row],[age]] &lt; 18,"0-17",IF(patients[[#This Row],[age]] &lt; 40,"18-39",IF(patients[[#This Row],[age]] &lt; 65,"40-64","65+")))</f>
        <v>65+</v>
      </c>
      <c r="K878" s="1" t="str">
        <f>TEXT(patients[[#This Row],[arrival_date]],"[$-409]mmmm")</f>
        <v>April</v>
      </c>
      <c r="L878" s="1">
        <f>MATCH(K878, {"January";"February";"March";"April";"May";"June";"July";"August";"September";"October";"November";"December"}, 0)</f>
        <v>4</v>
      </c>
      <c r="M878" s="1" t="str" cm="1">
        <f t="array" ref="M878">IF(patients[[#This Row],[length_of_stay]]&gt;patients!$N$2:$N$2,"Over average","Less than average")</f>
        <v>Less than average</v>
      </c>
    </row>
    <row r="879" spans="2:13" x14ac:dyDescent="0.25">
      <c r="B879" s="1" t="s">
        <v>1761</v>
      </c>
      <c r="C879" s="1" t="s">
        <v>1762</v>
      </c>
      <c r="D879">
        <v>27</v>
      </c>
      <c r="E879" s="2">
        <v>45930</v>
      </c>
      <c r="F879" s="2">
        <v>45936</v>
      </c>
      <c r="G879" s="1" t="s">
        <v>14</v>
      </c>
      <c r="H879">
        <v>78</v>
      </c>
      <c r="I879" s="19">
        <f>patients[[#This Row],[departure_date]]-patients[[#This Row],[arrival_date]]</f>
        <v>6</v>
      </c>
      <c r="J879" t="str">
        <f>IF(patients[[#This Row],[age]] &lt; 18,"0-17",IF(patients[[#This Row],[age]] &lt; 40,"18-39",IF(patients[[#This Row],[age]] &lt; 65,"40-64","65+")))</f>
        <v>18-39</v>
      </c>
      <c r="K879" s="1" t="str">
        <f>TEXT(patients[[#This Row],[arrival_date]],"[$-409]mmmm")</f>
        <v>September</v>
      </c>
      <c r="L879" s="1">
        <f>MATCH(K879, {"January";"February";"March";"April";"May";"June";"July";"August";"September";"October";"November";"December"}, 0)</f>
        <v>9</v>
      </c>
      <c r="M879" s="1" t="str" cm="1">
        <f t="array" ref="M879">IF(patients[[#This Row],[length_of_stay]]&gt;patients!$N$2:$N$2,"Over average","Less than average")</f>
        <v>Less than average</v>
      </c>
    </row>
    <row r="880" spans="2:13" x14ac:dyDescent="0.25">
      <c r="B880" s="1" t="s">
        <v>1763</v>
      </c>
      <c r="C880" s="1" t="s">
        <v>1764</v>
      </c>
      <c r="D880">
        <v>55</v>
      </c>
      <c r="E880" s="2">
        <v>45685</v>
      </c>
      <c r="F880" s="2">
        <v>45687</v>
      </c>
      <c r="G880" s="1" t="s">
        <v>9</v>
      </c>
      <c r="H880">
        <v>97</v>
      </c>
      <c r="I880" s="19">
        <f>patients[[#This Row],[departure_date]]-patients[[#This Row],[arrival_date]]</f>
        <v>2</v>
      </c>
      <c r="J880" t="str">
        <f>IF(patients[[#This Row],[age]] &lt; 18,"0-17",IF(patients[[#This Row],[age]] &lt; 40,"18-39",IF(patients[[#This Row],[age]] &lt; 65,"40-64","65+")))</f>
        <v>40-64</v>
      </c>
      <c r="K880" s="1" t="str">
        <f>TEXT(patients[[#This Row],[arrival_date]],"[$-409]mmmm")</f>
        <v>January</v>
      </c>
      <c r="L880" s="1">
        <f>MATCH(K880, {"January";"February";"March";"April";"May";"June";"July";"August";"September";"October";"November";"December"}, 0)</f>
        <v>1</v>
      </c>
      <c r="M880" s="1" t="str" cm="1">
        <f t="array" ref="M880">IF(patients[[#This Row],[length_of_stay]]&gt;patients!$N$2:$N$2,"Over average","Less than average")</f>
        <v>Less than average</v>
      </c>
    </row>
    <row r="881" spans="2:13" x14ac:dyDescent="0.25">
      <c r="B881" s="1" t="s">
        <v>1765</v>
      </c>
      <c r="C881" s="1" t="s">
        <v>1766</v>
      </c>
      <c r="D881">
        <v>36</v>
      </c>
      <c r="E881" s="2">
        <v>45901</v>
      </c>
      <c r="F881" s="2">
        <v>45905</v>
      </c>
      <c r="G881" s="1" t="s">
        <v>14</v>
      </c>
      <c r="H881">
        <v>81</v>
      </c>
      <c r="I881" s="19">
        <f>patients[[#This Row],[departure_date]]-patients[[#This Row],[arrival_date]]</f>
        <v>4</v>
      </c>
      <c r="J881" t="str">
        <f>IF(patients[[#This Row],[age]] &lt; 18,"0-17",IF(patients[[#This Row],[age]] &lt; 40,"18-39",IF(patients[[#This Row],[age]] &lt; 65,"40-64","65+")))</f>
        <v>18-39</v>
      </c>
      <c r="K881" s="1" t="str">
        <f>TEXT(patients[[#This Row],[arrival_date]],"[$-409]mmmm")</f>
        <v>September</v>
      </c>
      <c r="L881" s="1">
        <f>MATCH(K881, {"January";"February";"March";"April";"May";"June";"July";"August";"September";"October";"November";"December"}, 0)</f>
        <v>9</v>
      </c>
      <c r="M881" s="1" t="str" cm="1">
        <f t="array" ref="M881">IF(patients[[#This Row],[length_of_stay]]&gt;patients!$N$2:$N$2,"Over average","Less than average")</f>
        <v>Less than average</v>
      </c>
    </row>
    <row r="882" spans="2:13" x14ac:dyDescent="0.25">
      <c r="B882" s="1" t="s">
        <v>1767</v>
      </c>
      <c r="C882" s="1" t="s">
        <v>1768</v>
      </c>
      <c r="D882">
        <v>89</v>
      </c>
      <c r="E882" s="2">
        <v>45956</v>
      </c>
      <c r="F882" s="2">
        <v>45960</v>
      </c>
      <c r="G882" s="1" t="s">
        <v>17</v>
      </c>
      <c r="H882">
        <v>72</v>
      </c>
      <c r="I882" s="19">
        <f>patients[[#This Row],[departure_date]]-patients[[#This Row],[arrival_date]]</f>
        <v>4</v>
      </c>
      <c r="J882" t="str">
        <f>IF(patients[[#This Row],[age]] &lt; 18,"0-17",IF(patients[[#This Row],[age]] &lt; 40,"18-39",IF(patients[[#This Row],[age]] &lt; 65,"40-64","65+")))</f>
        <v>65+</v>
      </c>
      <c r="K882" s="1" t="str">
        <f>TEXT(patients[[#This Row],[arrival_date]],"[$-409]mmmm")</f>
        <v>October</v>
      </c>
      <c r="L882" s="1">
        <f>MATCH(K882, {"January";"February";"March";"April";"May";"June";"July";"August";"September";"October";"November";"December"}, 0)</f>
        <v>10</v>
      </c>
      <c r="M882" s="1" t="str" cm="1">
        <f t="array" ref="M882">IF(patients[[#This Row],[length_of_stay]]&gt;patients!$N$2:$N$2,"Over average","Less than average")</f>
        <v>Less than average</v>
      </c>
    </row>
    <row r="883" spans="2:13" x14ac:dyDescent="0.25">
      <c r="B883" s="1" t="s">
        <v>1769</v>
      </c>
      <c r="C883" s="1" t="s">
        <v>1770</v>
      </c>
      <c r="D883">
        <v>51</v>
      </c>
      <c r="E883" s="2">
        <v>45945</v>
      </c>
      <c r="F883" s="2">
        <v>45946</v>
      </c>
      <c r="G883" s="1" t="s">
        <v>9</v>
      </c>
      <c r="H883">
        <v>95</v>
      </c>
      <c r="I883" s="19">
        <f>patients[[#This Row],[departure_date]]-patients[[#This Row],[arrival_date]]</f>
        <v>1</v>
      </c>
      <c r="J883" t="str">
        <f>IF(patients[[#This Row],[age]] &lt; 18,"0-17",IF(patients[[#This Row],[age]] &lt; 40,"18-39",IF(patients[[#This Row],[age]] &lt; 65,"40-64","65+")))</f>
        <v>40-64</v>
      </c>
      <c r="K883" s="1" t="str">
        <f>TEXT(patients[[#This Row],[arrival_date]],"[$-409]mmmm")</f>
        <v>October</v>
      </c>
      <c r="L883" s="1">
        <f>MATCH(K883, {"January";"February";"March";"April";"May";"June";"July";"August";"September";"October";"November";"December"}, 0)</f>
        <v>10</v>
      </c>
      <c r="M883" s="1" t="str" cm="1">
        <f t="array" ref="M883">IF(patients[[#This Row],[length_of_stay]]&gt;patients!$N$2:$N$2,"Over average","Less than average")</f>
        <v>Less than average</v>
      </c>
    </row>
    <row r="884" spans="2:13" x14ac:dyDescent="0.25">
      <c r="B884" s="1" t="s">
        <v>1771</v>
      </c>
      <c r="C884" s="1" t="s">
        <v>1772</v>
      </c>
      <c r="D884">
        <v>59</v>
      </c>
      <c r="E884" s="2">
        <v>45740</v>
      </c>
      <c r="F884" s="2">
        <v>45750</v>
      </c>
      <c r="G884" s="1" t="s">
        <v>9</v>
      </c>
      <c r="H884">
        <v>94</v>
      </c>
      <c r="I884" s="19">
        <f>patients[[#This Row],[departure_date]]-patients[[#This Row],[arrival_date]]</f>
        <v>10</v>
      </c>
      <c r="J884" t="str">
        <f>IF(patients[[#This Row],[age]] &lt; 18,"0-17",IF(patients[[#This Row],[age]] &lt; 40,"18-39",IF(patients[[#This Row],[age]] &lt; 65,"40-64","65+")))</f>
        <v>40-64</v>
      </c>
      <c r="K884" s="1" t="str">
        <f>TEXT(patients[[#This Row],[arrival_date]],"[$-409]mmmm")</f>
        <v>March</v>
      </c>
      <c r="L884" s="1">
        <f>MATCH(K884, {"January";"February";"March";"April";"May";"June";"July";"August";"September";"October";"November";"December"}, 0)</f>
        <v>3</v>
      </c>
      <c r="M884" s="1" t="str" cm="1">
        <f t="array" ref="M884">IF(patients[[#This Row],[length_of_stay]]&gt;patients!$N$2:$N$2,"Over average","Less than average")</f>
        <v>Over average</v>
      </c>
    </row>
    <row r="885" spans="2:13" x14ac:dyDescent="0.25">
      <c r="B885" s="1" t="s">
        <v>1773</v>
      </c>
      <c r="C885" s="1" t="s">
        <v>1774</v>
      </c>
      <c r="D885">
        <v>55</v>
      </c>
      <c r="E885" s="2">
        <v>45941</v>
      </c>
      <c r="F885" s="2">
        <v>45942</v>
      </c>
      <c r="G885" s="1" t="s">
        <v>14</v>
      </c>
      <c r="H885">
        <v>77</v>
      </c>
      <c r="I885" s="19">
        <f>patients[[#This Row],[departure_date]]-patients[[#This Row],[arrival_date]]</f>
        <v>1</v>
      </c>
      <c r="J885" t="str">
        <f>IF(patients[[#This Row],[age]] &lt; 18,"0-17",IF(patients[[#This Row],[age]] &lt; 40,"18-39",IF(patients[[#This Row],[age]] &lt; 65,"40-64","65+")))</f>
        <v>40-64</v>
      </c>
      <c r="K885" s="1" t="str">
        <f>TEXT(patients[[#This Row],[arrival_date]],"[$-409]mmmm")</f>
        <v>October</v>
      </c>
      <c r="L885" s="1">
        <f>MATCH(K885, {"January";"February";"March";"April";"May";"June";"July";"August";"September";"October";"November";"December"}, 0)</f>
        <v>10</v>
      </c>
      <c r="M885" s="1" t="str" cm="1">
        <f t="array" ref="M885">IF(patients[[#This Row],[length_of_stay]]&gt;patients!$N$2:$N$2,"Over average","Less than average")</f>
        <v>Less than average</v>
      </c>
    </row>
    <row r="886" spans="2:13" x14ac:dyDescent="0.25">
      <c r="B886" s="1" t="s">
        <v>1775</v>
      </c>
      <c r="C886" s="1" t="s">
        <v>1776</v>
      </c>
      <c r="D886">
        <v>47</v>
      </c>
      <c r="E886" s="2">
        <v>45754</v>
      </c>
      <c r="F886" s="2">
        <v>45766</v>
      </c>
      <c r="G886" s="1" t="s">
        <v>20</v>
      </c>
      <c r="H886">
        <v>67</v>
      </c>
      <c r="I886" s="19">
        <f>patients[[#This Row],[departure_date]]-patients[[#This Row],[arrival_date]]</f>
        <v>12</v>
      </c>
      <c r="J886" t="str">
        <f>IF(patients[[#This Row],[age]] &lt; 18,"0-17",IF(patients[[#This Row],[age]] &lt; 40,"18-39",IF(patients[[#This Row],[age]] &lt; 65,"40-64","65+")))</f>
        <v>40-64</v>
      </c>
      <c r="K886" s="1" t="str">
        <f>TEXT(patients[[#This Row],[arrival_date]],"[$-409]mmmm")</f>
        <v>April</v>
      </c>
      <c r="L886" s="1">
        <f>MATCH(K886, {"January";"February";"March";"April";"May";"June";"July";"August";"September";"October";"November";"December"}, 0)</f>
        <v>4</v>
      </c>
      <c r="M886" s="1" t="str" cm="1">
        <f t="array" ref="M886">IF(patients[[#This Row],[length_of_stay]]&gt;patients!$N$2:$N$2,"Over average","Less than average")</f>
        <v>Over average</v>
      </c>
    </row>
    <row r="887" spans="2:13" x14ac:dyDescent="0.25">
      <c r="B887" s="1" t="s">
        <v>1777</v>
      </c>
      <c r="C887" s="1" t="s">
        <v>1778</v>
      </c>
      <c r="D887">
        <v>87</v>
      </c>
      <c r="E887" s="2">
        <v>45794</v>
      </c>
      <c r="F887" s="2">
        <v>45802</v>
      </c>
      <c r="G887" s="1" t="s">
        <v>20</v>
      </c>
      <c r="H887">
        <v>71</v>
      </c>
      <c r="I887" s="19">
        <f>patients[[#This Row],[departure_date]]-patients[[#This Row],[arrival_date]]</f>
        <v>8</v>
      </c>
      <c r="J887" t="str">
        <f>IF(patients[[#This Row],[age]] &lt; 18,"0-17",IF(patients[[#This Row],[age]] &lt; 40,"18-39",IF(patients[[#This Row],[age]] &lt; 65,"40-64","65+")))</f>
        <v>65+</v>
      </c>
      <c r="K887" s="1" t="str">
        <f>TEXT(patients[[#This Row],[arrival_date]],"[$-409]mmmm")</f>
        <v>May</v>
      </c>
      <c r="L887" s="1">
        <f>MATCH(K887, {"January";"February";"March";"April";"May";"June";"July";"August";"September";"October";"November";"December"}, 0)</f>
        <v>5</v>
      </c>
      <c r="M887" s="1" t="str" cm="1">
        <f t="array" ref="M887">IF(patients[[#This Row],[length_of_stay]]&gt;patients!$N$2:$N$2,"Over average","Less than average")</f>
        <v>Over average</v>
      </c>
    </row>
    <row r="888" spans="2:13" x14ac:dyDescent="0.25">
      <c r="B888" s="1" t="s">
        <v>1779</v>
      </c>
      <c r="C888" s="1" t="s">
        <v>1780</v>
      </c>
      <c r="D888">
        <v>30</v>
      </c>
      <c r="E888" s="2">
        <v>45799</v>
      </c>
      <c r="F888" s="2">
        <v>45812</v>
      </c>
      <c r="G888" s="1" t="s">
        <v>20</v>
      </c>
      <c r="H888">
        <v>84</v>
      </c>
      <c r="I888" s="19">
        <f>patients[[#This Row],[departure_date]]-patients[[#This Row],[arrival_date]]</f>
        <v>13</v>
      </c>
      <c r="J888" t="str">
        <f>IF(patients[[#This Row],[age]] &lt; 18,"0-17",IF(patients[[#This Row],[age]] &lt; 40,"18-39",IF(patients[[#This Row],[age]] &lt; 65,"40-64","65+")))</f>
        <v>18-39</v>
      </c>
      <c r="K888" s="1" t="str">
        <f>TEXT(patients[[#This Row],[arrival_date]],"[$-409]mmmm")</f>
        <v>May</v>
      </c>
      <c r="L888" s="1">
        <f>MATCH(K888, {"January";"February";"March";"April";"May";"June";"July";"August";"September";"October";"November";"December"}, 0)</f>
        <v>5</v>
      </c>
      <c r="M888" s="1" t="str" cm="1">
        <f t="array" ref="M888">IF(patients[[#This Row],[length_of_stay]]&gt;patients!$N$2:$N$2,"Over average","Less than average")</f>
        <v>Over average</v>
      </c>
    </row>
    <row r="889" spans="2:13" x14ac:dyDescent="0.25">
      <c r="B889" s="1" t="s">
        <v>1781</v>
      </c>
      <c r="C889" s="1" t="s">
        <v>1782</v>
      </c>
      <c r="D889">
        <v>33</v>
      </c>
      <c r="E889" s="2">
        <v>45907</v>
      </c>
      <c r="F889" s="2">
        <v>45915</v>
      </c>
      <c r="G889" s="1" t="s">
        <v>14</v>
      </c>
      <c r="H889">
        <v>68</v>
      </c>
      <c r="I889" s="19">
        <f>patients[[#This Row],[departure_date]]-patients[[#This Row],[arrival_date]]</f>
        <v>8</v>
      </c>
      <c r="J889" t="str">
        <f>IF(patients[[#This Row],[age]] &lt; 18,"0-17",IF(patients[[#This Row],[age]] &lt; 40,"18-39",IF(patients[[#This Row],[age]] &lt; 65,"40-64","65+")))</f>
        <v>18-39</v>
      </c>
      <c r="K889" s="1" t="str">
        <f>TEXT(patients[[#This Row],[arrival_date]],"[$-409]mmmm")</f>
        <v>September</v>
      </c>
      <c r="L889" s="1">
        <f>MATCH(K889, {"January";"February";"March";"April";"May";"June";"July";"August";"September";"October";"November";"December"}, 0)</f>
        <v>9</v>
      </c>
      <c r="M889" s="1" t="str" cm="1">
        <f t="array" ref="M889">IF(patients[[#This Row],[length_of_stay]]&gt;patients!$N$2:$N$2,"Over average","Less than average")</f>
        <v>Over average</v>
      </c>
    </row>
    <row r="890" spans="2:13" x14ac:dyDescent="0.25">
      <c r="B890" s="1" t="s">
        <v>1783</v>
      </c>
      <c r="C890" s="1" t="s">
        <v>1784</v>
      </c>
      <c r="D890">
        <v>25</v>
      </c>
      <c r="E890" s="2">
        <v>46017</v>
      </c>
      <c r="F890" s="2">
        <v>46027</v>
      </c>
      <c r="G890" s="1" t="s">
        <v>20</v>
      </c>
      <c r="H890">
        <v>78</v>
      </c>
      <c r="I890" s="19">
        <f>patients[[#This Row],[departure_date]]-patients[[#This Row],[arrival_date]]</f>
        <v>10</v>
      </c>
      <c r="J890" t="str">
        <f>IF(patients[[#This Row],[age]] &lt; 18,"0-17",IF(patients[[#This Row],[age]] &lt; 40,"18-39",IF(patients[[#This Row],[age]] &lt; 65,"40-64","65+")))</f>
        <v>18-39</v>
      </c>
      <c r="K890" s="1" t="str">
        <f>TEXT(patients[[#This Row],[arrival_date]],"[$-409]mmmm")</f>
        <v>December</v>
      </c>
      <c r="L890" s="1">
        <f>MATCH(K890, {"January";"February";"March";"April";"May";"June";"July";"August";"September";"October";"November";"December"}, 0)</f>
        <v>12</v>
      </c>
      <c r="M890" s="1" t="str" cm="1">
        <f t="array" ref="M890">IF(patients[[#This Row],[length_of_stay]]&gt;patients!$N$2:$N$2,"Over average","Less than average")</f>
        <v>Over average</v>
      </c>
    </row>
    <row r="891" spans="2:13" x14ac:dyDescent="0.25">
      <c r="B891" s="1" t="s">
        <v>1785</v>
      </c>
      <c r="C891" s="1" t="s">
        <v>1786</v>
      </c>
      <c r="D891">
        <v>66</v>
      </c>
      <c r="E891" s="2">
        <v>45662</v>
      </c>
      <c r="F891" s="2">
        <v>45665</v>
      </c>
      <c r="G891" s="1" t="s">
        <v>20</v>
      </c>
      <c r="H891">
        <v>86</v>
      </c>
      <c r="I891" s="19">
        <f>patients[[#This Row],[departure_date]]-patients[[#This Row],[arrival_date]]</f>
        <v>3</v>
      </c>
      <c r="J891" t="str">
        <f>IF(patients[[#This Row],[age]] &lt; 18,"0-17",IF(patients[[#This Row],[age]] &lt; 40,"18-39",IF(patients[[#This Row],[age]] &lt; 65,"40-64","65+")))</f>
        <v>65+</v>
      </c>
      <c r="K891" s="1" t="str">
        <f>TEXT(patients[[#This Row],[arrival_date]],"[$-409]mmmm")</f>
        <v>January</v>
      </c>
      <c r="L891" s="1">
        <f>MATCH(K891, {"January";"February";"March";"April";"May";"June";"July";"August";"September";"October";"November";"December"}, 0)</f>
        <v>1</v>
      </c>
      <c r="M891" s="1" t="str" cm="1">
        <f t="array" ref="M891">IF(patients[[#This Row],[length_of_stay]]&gt;patients!$N$2:$N$2,"Over average","Less than average")</f>
        <v>Less than average</v>
      </c>
    </row>
    <row r="892" spans="2:13" x14ac:dyDescent="0.25">
      <c r="B892" s="1" t="s">
        <v>1787</v>
      </c>
      <c r="C892" s="1" t="s">
        <v>1788</v>
      </c>
      <c r="D892">
        <v>79</v>
      </c>
      <c r="E892" s="2">
        <v>45928</v>
      </c>
      <c r="F892" s="2">
        <v>45931</v>
      </c>
      <c r="G892" s="1" t="s">
        <v>17</v>
      </c>
      <c r="H892">
        <v>71</v>
      </c>
      <c r="I892" s="19">
        <f>patients[[#This Row],[departure_date]]-patients[[#This Row],[arrival_date]]</f>
        <v>3</v>
      </c>
      <c r="J892" t="str">
        <f>IF(patients[[#This Row],[age]] &lt; 18,"0-17",IF(patients[[#This Row],[age]] &lt; 40,"18-39",IF(patients[[#This Row],[age]] &lt; 65,"40-64","65+")))</f>
        <v>65+</v>
      </c>
      <c r="K892" s="1" t="str">
        <f>TEXT(patients[[#This Row],[arrival_date]],"[$-409]mmmm")</f>
        <v>September</v>
      </c>
      <c r="L892" s="1">
        <f>MATCH(K892, {"January";"February";"March";"April";"May";"June";"July";"August";"September";"October";"November";"December"}, 0)</f>
        <v>9</v>
      </c>
      <c r="M892" s="1" t="str" cm="1">
        <f t="array" ref="M892">IF(patients[[#This Row],[length_of_stay]]&gt;patients!$N$2:$N$2,"Over average","Less than average")</f>
        <v>Less than average</v>
      </c>
    </row>
    <row r="893" spans="2:13" x14ac:dyDescent="0.25">
      <c r="B893" s="1" t="s">
        <v>1789</v>
      </c>
      <c r="C893" s="1" t="s">
        <v>1790</v>
      </c>
      <c r="D893">
        <v>52</v>
      </c>
      <c r="E893" s="2">
        <v>45939</v>
      </c>
      <c r="F893" s="2">
        <v>45941</v>
      </c>
      <c r="G893" s="1" t="s">
        <v>20</v>
      </c>
      <c r="H893">
        <v>82</v>
      </c>
      <c r="I893" s="19">
        <f>patients[[#This Row],[departure_date]]-patients[[#This Row],[arrival_date]]</f>
        <v>2</v>
      </c>
      <c r="J893" t="str">
        <f>IF(patients[[#This Row],[age]] &lt; 18,"0-17",IF(patients[[#This Row],[age]] &lt; 40,"18-39",IF(patients[[#This Row],[age]] &lt; 65,"40-64","65+")))</f>
        <v>40-64</v>
      </c>
      <c r="K893" s="1" t="str">
        <f>TEXT(patients[[#This Row],[arrival_date]],"[$-409]mmmm")</f>
        <v>October</v>
      </c>
      <c r="L893" s="1">
        <f>MATCH(K893, {"January";"February";"March";"April";"May";"June";"July";"August";"September";"October";"November";"December"}, 0)</f>
        <v>10</v>
      </c>
      <c r="M893" s="1" t="str" cm="1">
        <f t="array" ref="M893">IF(patients[[#This Row],[length_of_stay]]&gt;patients!$N$2:$N$2,"Over average","Less than average")</f>
        <v>Less than average</v>
      </c>
    </row>
    <row r="894" spans="2:13" x14ac:dyDescent="0.25">
      <c r="B894" s="1" t="s">
        <v>1791</v>
      </c>
      <c r="C894" s="1" t="s">
        <v>1792</v>
      </c>
      <c r="D894">
        <v>49</v>
      </c>
      <c r="E894" s="2">
        <v>45797</v>
      </c>
      <c r="F894" s="2">
        <v>45804</v>
      </c>
      <c r="G894" s="1" t="s">
        <v>20</v>
      </c>
      <c r="H894">
        <v>63</v>
      </c>
      <c r="I894" s="19">
        <f>patients[[#This Row],[departure_date]]-patients[[#This Row],[arrival_date]]</f>
        <v>7</v>
      </c>
      <c r="J894" t="str">
        <f>IF(patients[[#This Row],[age]] &lt; 18,"0-17",IF(patients[[#This Row],[age]] &lt; 40,"18-39",IF(patients[[#This Row],[age]] &lt; 65,"40-64","65+")))</f>
        <v>40-64</v>
      </c>
      <c r="K894" s="1" t="str">
        <f>TEXT(patients[[#This Row],[arrival_date]],"[$-409]mmmm")</f>
        <v>May</v>
      </c>
      <c r="L894" s="1">
        <f>MATCH(K894, {"January";"February";"March";"April";"May";"June";"July";"August";"September";"October";"November";"December"}, 0)</f>
        <v>5</v>
      </c>
      <c r="M894" s="1" t="str" cm="1">
        <f t="array" ref="M894">IF(patients[[#This Row],[length_of_stay]]&gt;patients!$N$2:$N$2,"Over average","Less than average")</f>
        <v>Less than average</v>
      </c>
    </row>
    <row r="895" spans="2:13" x14ac:dyDescent="0.25">
      <c r="B895" s="1" t="s">
        <v>1793</v>
      </c>
      <c r="C895" s="1" t="s">
        <v>1794</v>
      </c>
      <c r="D895">
        <v>86</v>
      </c>
      <c r="E895" s="2">
        <v>45840</v>
      </c>
      <c r="F895" s="2">
        <v>45841</v>
      </c>
      <c r="G895" s="1" t="s">
        <v>20</v>
      </c>
      <c r="H895">
        <v>84</v>
      </c>
      <c r="I895" s="19">
        <f>patients[[#This Row],[departure_date]]-patients[[#This Row],[arrival_date]]</f>
        <v>1</v>
      </c>
      <c r="J895" t="str">
        <f>IF(patients[[#This Row],[age]] &lt; 18,"0-17",IF(patients[[#This Row],[age]] &lt; 40,"18-39",IF(patients[[#This Row],[age]] &lt; 65,"40-64","65+")))</f>
        <v>65+</v>
      </c>
      <c r="K895" s="1" t="str">
        <f>TEXT(patients[[#This Row],[arrival_date]],"[$-409]mmmm")</f>
        <v>July</v>
      </c>
      <c r="L895" s="1">
        <f>MATCH(K895, {"January";"February";"March";"April";"May";"June";"July";"August";"September";"October";"November";"December"}, 0)</f>
        <v>7</v>
      </c>
      <c r="M895" s="1" t="str" cm="1">
        <f t="array" ref="M895">IF(patients[[#This Row],[length_of_stay]]&gt;patients!$N$2:$N$2,"Over average","Less than average")</f>
        <v>Less than average</v>
      </c>
    </row>
    <row r="896" spans="2:13" x14ac:dyDescent="0.25">
      <c r="B896" s="1" t="s">
        <v>1795</v>
      </c>
      <c r="C896" s="1" t="s">
        <v>1238</v>
      </c>
      <c r="D896">
        <v>65</v>
      </c>
      <c r="E896" s="2">
        <v>45806</v>
      </c>
      <c r="F896" s="2">
        <v>45815</v>
      </c>
      <c r="G896" s="1" t="s">
        <v>9</v>
      </c>
      <c r="H896">
        <v>79</v>
      </c>
      <c r="I896" s="19">
        <f>patients[[#This Row],[departure_date]]-patients[[#This Row],[arrival_date]]</f>
        <v>9</v>
      </c>
      <c r="J896" t="str">
        <f>IF(patients[[#This Row],[age]] &lt; 18,"0-17",IF(patients[[#This Row],[age]] &lt; 40,"18-39",IF(patients[[#This Row],[age]] &lt; 65,"40-64","65+")))</f>
        <v>65+</v>
      </c>
      <c r="K896" s="1" t="str">
        <f>TEXT(patients[[#This Row],[arrival_date]],"[$-409]mmmm")</f>
        <v>May</v>
      </c>
      <c r="L896" s="1">
        <f>MATCH(K896, {"January";"February";"March";"April";"May";"June";"July";"August";"September";"October";"November";"December"}, 0)</f>
        <v>5</v>
      </c>
      <c r="M896" s="1" t="str" cm="1">
        <f t="array" ref="M896">IF(patients[[#This Row],[length_of_stay]]&gt;patients!$N$2:$N$2,"Over average","Less than average")</f>
        <v>Over average</v>
      </c>
    </row>
    <row r="897" spans="2:13" x14ac:dyDescent="0.25">
      <c r="B897" s="1" t="s">
        <v>1796</v>
      </c>
      <c r="C897" s="1" t="s">
        <v>1797</v>
      </c>
      <c r="D897">
        <v>48</v>
      </c>
      <c r="E897" s="2">
        <v>45871</v>
      </c>
      <c r="F897" s="2">
        <v>45876</v>
      </c>
      <c r="G897" s="1" t="s">
        <v>20</v>
      </c>
      <c r="H897">
        <v>92</v>
      </c>
      <c r="I897" s="19">
        <f>patients[[#This Row],[departure_date]]-patients[[#This Row],[arrival_date]]</f>
        <v>5</v>
      </c>
      <c r="J897" t="str">
        <f>IF(patients[[#This Row],[age]] &lt; 18,"0-17",IF(patients[[#This Row],[age]] &lt; 40,"18-39",IF(patients[[#This Row],[age]] &lt; 65,"40-64","65+")))</f>
        <v>40-64</v>
      </c>
      <c r="K897" s="1" t="str">
        <f>TEXT(patients[[#This Row],[arrival_date]],"[$-409]mmmm")</f>
        <v>August</v>
      </c>
      <c r="L897" s="1">
        <f>MATCH(K897, {"January";"February";"March";"April";"May";"June";"July";"August";"September";"October";"November";"December"}, 0)</f>
        <v>8</v>
      </c>
      <c r="M897" s="1" t="str" cm="1">
        <f t="array" ref="M897">IF(patients[[#This Row],[length_of_stay]]&gt;patients!$N$2:$N$2,"Over average","Less than average")</f>
        <v>Less than average</v>
      </c>
    </row>
    <row r="898" spans="2:13" x14ac:dyDescent="0.25">
      <c r="B898" s="1" t="s">
        <v>1798</v>
      </c>
      <c r="C898" s="1" t="s">
        <v>1799</v>
      </c>
      <c r="D898">
        <v>37</v>
      </c>
      <c r="E898" s="2">
        <v>45800</v>
      </c>
      <c r="F898" s="2">
        <v>45810</v>
      </c>
      <c r="G898" s="1" t="s">
        <v>17</v>
      </c>
      <c r="H898">
        <v>74</v>
      </c>
      <c r="I898" s="19">
        <f>patients[[#This Row],[departure_date]]-patients[[#This Row],[arrival_date]]</f>
        <v>10</v>
      </c>
      <c r="J898" t="str">
        <f>IF(patients[[#This Row],[age]] &lt; 18,"0-17",IF(patients[[#This Row],[age]] &lt; 40,"18-39",IF(patients[[#This Row],[age]] &lt; 65,"40-64","65+")))</f>
        <v>18-39</v>
      </c>
      <c r="K898" s="1" t="str">
        <f>TEXT(patients[[#This Row],[arrival_date]],"[$-409]mmmm")</f>
        <v>May</v>
      </c>
      <c r="L898" s="1">
        <f>MATCH(K898, {"January";"February";"March";"April";"May";"June";"July";"August";"September";"October";"November";"December"}, 0)</f>
        <v>5</v>
      </c>
      <c r="M898" s="1" t="str" cm="1">
        <f t="array" ref="M898">IF(patients[[#This Row],[length_of_stay]]&gt;patients!$N$2:$N$2,"Over average","Less than average")</f>
        <v>Over average</v>
      </c>
    </row>
    <row r="899" spans="2:13" x14ac:dyDescent="0.25">
      <c r="B899" s="1" t="s">
        <v>1800</v>
      </c>
      <c r="C899" s="1" t="s">
        <v>1801</v>
      </c>
      <c r="D899">
        <v>45</v>
      </c>
      <c r="E899" s="2">
        <v>45934</v>
      </c>
      <c r="F899" s="2">
        <v>45942</v>
      </c>
      <c r="G899" s="1" t="s">
        <v>17</v>
      </c>
      <c r="H899">
        <v>64</v>
      </c>
      <c r="I899" s="19">
        <f>patients[[#This Row],[departure_date]]-patients[[#This Row],[arrival_date]]</f>
        <v>8</v>
      </c>
      <c r="J899" t="str">
        <f>IF(patients[[#This Row],[age]] &lt; 18,"0-17",IF(patients[[#This Row],[age]] &lt; 40,"18-39",IF(patients[[#This Row],[age]] &lt; 65,"40-64","65+")))</f>
        <v>40-64</v>
      </c>
      <c r="K899" s="1" t="str">
        <f>TEXT(patients[[#This Row],[arrival_date]],"[$-409]mmmm")</f>
        <v>October</v>
      </c>
      <c r="L899" s="1">
        <f>MATCH(K899, {"January";"February";"March";"April";"May";"June";"July";"August";"September";"October";"November";"December"}, 0)</f>
        <v>10</v>
      </c>
      <c r="M899" s="1" t="str" cm="1">
        <f t="array" ref="M899">IF(patients[[#This Row],[length_of_stay]]&gt;patients!$N$2:$N$2,"Over average","Less than average")</f>
        <v>Over average</v>
      </c>
    </row>
    <row r="900" spans="2:13" x14ac:dyDescent="0.25">
      <c r="B900" s="1" t="s">
        <v>1802</v>
      </c>
      <c r="C900" s="1" t="s">
        <v>1803</v>
      </c>
      <c r="D900">
        <v>69</v>
      </c>
      <c r="E900" s="2">
        <v>46020</v>
      </c>
      <c r="F900" s="2">
        <v>46032</v>
      </c>
      <c r="G900" s="1" t="s">
        <v>17</v>
      </c>
      <c r="H900">
        <v>82</v>
      </c>
      <c r="I900" s="19">
        <f>patients[[#This Row],[departure_date]]-patients[[#This Row],[arrival_date]]</f>
        <v>12</v>
      </c>
      <c r="J900" t="str">
        <f>IF(patients[[#This Row],[age]] &lt; 18,"0-17",IF(patients[[#This Row],[age]] &lt; 40,"18-39",IF(patients[[#This Row],[age]] &lt; 65,"40-64","65+")))</f>
        <v>65+</v>
      </c>
      <c r="K900" s="1" t="str">
        <f>TEXT(patients[[#This Row],[arrival_date]],"[$-409]mmmm")</f>
        <v>December</v>
      </c>
      <c r="L900" s="1">
        <f>MATCH(K900, {"January";"February";"March";"April";"May";"June";"July";"August";"September";"October";"November";"December"}, 0)</f>
        <v>12</v>
      </c>
      <c r="M900" s="1" t="str" cm="1">
        <f t="array" ref="M900">IF(patients[[#This Row],[length_of_stay]]&gt;patients!$N$2:$N$2,"Over average","Less than average")</f>
        <v>Over average</v>
      </c>
    </row>
    <row r="901" spans="2:13" x14ac:dyDescent="0.25">
      <c r="B901" s="1" t="s">
        <v>1804</v>
      </c>
      <c r="C901" s="1" t="s">
        <v>1805</v>
      </c>
      <c r="D901">
        <v>67</v>
      </c>
      <c r="E901" s="2">
        <v>45675</v>
      </c>
      <c r="F901" s="2">
        <v>45680</v>
      </c>
      <c r="G901" s="1" t="s">
        <v>14</v>
      </c>
      <c r="H901">
        <v>87</v>
      </c>
      <c r="I901" s="19">
        <f>patients[[#This Row],[departure_date]]-patients[[#This Row],[arrival_date]]</f>
        <v>5</v>
      </c>
      <c r="J901" t="str">
        <f>IF(patients[[#This Row],[age]] &lt; 18,"0-17",IF(patients[[#This Row],[age]] &lt; 40,"18-39",IF(patients[[#This Row],[age]] &lt; 65,"40-64","65+")))</f>
        <v>65+</v>
      </c>
      <c r="K901" s="1" t="str">
        <f>TEXT(patients[[#This Row],[arrival_date]],"[$-409]mmmm")</f>
        <v>January</v>
      </c>
      <c r="L901" s="1">
        <f>MATCH(K901, {"January";"February";"March";"April";"May";"June";"July";"August";"September";"October";"November";"December"}, 0)</f>
        <v>1</v>
      </c>
      <c r="M901" s="1" t="str" cm="1">
        <f t="array" ref="M901">IF(patients[[#This Row],[length_of_stay]]&gt;patients!$N$2:$N$2,"Over average","Less than average")</f>
        <v>Less than average</v>
      </c>
    </row>
    <row r="902" spans="2:13" x14ac:dyDescent="0.25">
      <c r="B902" s="1" t="s">
        <v>1806</v>
      </c>
      <c r="C902" s="1" t="s">
        <v>1807</v>
      </c>
      <c r="D902">
        <v>85</v>
      </c>
      <c r="E902" s="2">
        <v>45808</v>
      </c>
      <c r="F902" s="2">
        <v>45811</v>
      </c>
      <c r="G902" s="1" t="s">
        <v>20</v>
      </c>
      <c r="H902">
        <v>99</v>
      </c>
      <c r="I902" s="19">
        <f>patients[[#This Row],[departure_date]]-patients[[#This Row],[arrival_date]]</f>
        <v>3</v>
      </c>
      <c r="J902" t="str">
        <f>IF(patients[[#This Row],[age]] &lt; 18,"0-17",IF(patients[[#This Row],[age]] &lt; 40,"18-39",IF(patients[[#This Row],[age]] &lt; 65,"40-64","65+")))</f>
        <v>65+</v>
      </c>
      <c r="K902" s="1" t="str">
        <f>TEXT(patients[[#This Row],[arrival_date]],"[$-409]mmmm")</f>
        <v>May</v>
      </c>
      <c r="L902" s="1">
        <f>MATCH(K902, {"January";"February";"March";"April";"May";"June";"July";"August";"September";"October";"November";"December"}, 0)</f>
        <v>5</v>
      </c>
      <c r="M902" s="1" t="str" cm="1">
        <f t="array" ref="M902">IF(patients[[#This Row],[length_of_stay]]&gt;patients!$N$2:$N$2,"Over average","Less than average")</f>
        <v>Less than average</v>
      </c>
    </row>
    <row r="903" spans="2:13" x14ac:dyDescent="0.25">
      <c r="B903" s="1" t="s">
        <v>1808</v>
      </c>
      <c r="C903" s="1" t="s">
        <v>1809</v>
      </c>
      <c r="D903">
        <v>9</v>
      </c>
      <c r="E903" s="2">
        <v>45837</v>
      </c>
      <c r="F903" s="2">
        <v>45838</v>
      </c>
      <c r="G903" s="1" t="s">
        <v>17</v>
      </c>
      <c r="H903">
        <v>67</v>
      </c>
      <c r="I903" s="19">
        <f>patients[[#This Row],[departure_date]]-patients[[#This Row],[arrival_date]]</f>
        <v>1</v>
      </c>
      <c r="J903" t="str">
        <f>IF(patients[[#This Row],[age]] &lt; 18,"0-17",IF(patients[[#This Row],[age]] &lt; 40,"18-39",IF(patients[[#This Row],[age]] &lt; 65,"40-64","65+")))</f>
        <v>0-17</v>
      </c>
      <c r="K903" s="1" t="str">
        <f>TEXT(patients[[#This Row],[arrival_date]],"[$-409]mmmm")</f>
        <v>June</v>
      </c>
      <c r="L903" s="1">
        <f>MATCH(K903, {"January";"February";"March";"April";"May";"June";"July";"August";"September";"October";"November";"December"}, 0)</f>
        <v>6</v>
      </c>
      <c r="M903" s="1" t="str" cm="1">
        <f t="array" ref="M903">IF(patients[[#This Row],[length_of_stay]]&gt;patients!$N$2:$N$2,"Over average","Less than average")</f>
        <v>Less than average</v>
      </c>
    </row>
    <row r="904" spans="2:13" x14ac:dyDescent="0.25">
      <c r="B904" s="1" t="s">
        <v>1810</v>
      </c>
      <c r="C904" s="1" t="s">
        <v>1811</v>
      </c>
      <c r="D904">
        <v>74</v>
      </c>
      <c r="E904" s="2">
        <v>45849</v>
      </c>
      <c r="F904" s="2">
        <v>45854</v>
      </c>
      <c r="G904" s="1" t="s">
        <v>17</v>
      </c>
      <c r="H904">
        <v>96</v>
      </c>
      <c r="I904" s="19">
        <f>patients[[#This Row],[departure_date]]-patients[[#This Row],[arrival_date]]</f>
        <v>5</v>
      </c>
      <c r="J904" t="str">
        <f>IF(patients[[#This Row],[age]] &lt; 18,"0-17",IF(patients[[#This Row],[age]] &lt; 40,"18-39",IF(patients[[#This Row],[age]] &lt; 65,"40-64","65+")))</f>
        <v>65+</v>
      </c>
      <c r="K904" s="1" t="str">
        <f>TEXT(patients[[#This Row],[arrival_date]],"[$-409]mmmm")</f>
        <v>July</v>
      </c>
      <c r="L904" s="1">
        <f>MATCH(K904, {"January";"February";"March";"April";"May";"June";"July";"August";"September";"October";"November";"December"}, 0)</f>
        <v>7</v>
      </c>
      <c r="M904" s="1" t="str" cm="1">
        <f t="array" ref="M904">IF(patients[[#This Row],[length_of_stay]]&gt;patients!$N$2:$N$2,"Over average","Less than average")</f>
        <v>Less than average</v>
      </c>
    </row>
    <row r="905" spans="2:13" x14ac:dyDescent="0.25">
      <c r="B905" s="1" t="s">
        <v>1812</v>
      </c>
      <c r="C905" s="1" t="s">
        <v>1813</v>
      </c>
      <c r="D905">
        <v>55</v>
      </c>
      <c r="E905" s="2">
        <v>45894</v>
      </c>
      <c r="F905" s="2">
        <v>45900</v>
      </c>
      <c r="G905" s="1" t="s">
        <v>14</v>
      </c>
      <c r="H905">
        <v>88</v>
      </c>
      <c r="I905" s="19">
        <f>patients[[#This Row],[departure_date]]-patients[[#This Row],[arrival_date]]</f>
        <v>6</v>
      </c>
      <c r="J905" t="str">
        <f>IF(patients[[#This Row],[age]] &lt; 18,"0-17",IF(patients[[#This Row],[age]] &lt; 40,"18-39",IF(patients[[#This Row],[age]] &lt; 65,"40-64","65+")))</f>
        <v>40-64</v>
      </c>
      <c r="K905" s="1" t="str">
        <f>TEXT(patients[[#This Row],[arrival_date]],"[$-409]mmmm")</f>
        <v>August</v>
      </c>
      <c r="L905" s="1">
        <f>MATCH(K905, {"January";"February";"March";"April";"May";"June";"July";"August";"September";"October";"November";"December"}, 0)</f>
        <v>8</v>
      </c>
      <c r="M905" s="1" t="str" cm="1">
        <f t="array" ref="M905">IF(patients[[#This Row],[length_of_stay]]&gt;patients!$N$2:$N$2,"Over average","Less than average")</f>
        <v>Less than average</v>
      </c>
    </row>
    <row r="906" spans="2:13" x14ac:dyDescent="0.25">
      <c r="B906" s="1" t="s">
        <v>1814</v>
      </c>
      <c r="C906" s="1" t="s">
        <v>1815</v>
      </c>
      <c r="D906">
        <v>68</v>
      </c>
      <c r="E906" s="2">
        <v>45716</v>
      </c>
      <c r="F906" s="2">
        <v>45718</v>
      </c>
      <c r="G906" s="1" t="s">
        <v>17</v>
      </c>
      <c r="H906">
        <v>60</v>
      </c>
      <c r="I906" s="19">
        <f>patients[[#This Row],[departure_date]]-patients[[#This Row],[arrival_date]]</f>
        <v>2</v>
      </c>
      <c r="J906" t="str">
        <f>IF(patients[[#This Row],[age]] &lt; 18,"0-17",IF(patients[[#This Row],[age]] &lt; 40,"18-39",IF(patients[[#This Row],[age]] &lt; 65,"40-64","65+")))</f>
        <v>65+</v>
      </c>
      <c r="K906" s="1" t="str">
        <f>TEXT(patients[[#This Row],[arrival_date]],"[$-409]mmmm")</f>
        <v>February</v>
      </c>
      <c r="L906" s="1">
        <f>MATCH(K906, {"January";"February";"March";"April";"May";"June";"July";"August";"September";"October";"November";"December"}, 0)</f>
        <v>2</v>
      </c>
      <c r="M906" s="1" t="str" cm="1">
        <f t="array" ref="M906">IF(patients[[#This Row],[length_of_stay]]&gt;patients!$N$2:$N$2,"Over average","Less than average")</f>
        <v>Less than average</v>
      </c>
    </row>
    <row r="907" spans="2:13" x14ac:dyDescent="0.25">
      <c r="B907" s="1" t="s">
        <v>1816</v>
      </c>
      <c r="C907" s="1" t="s">
        <v>1817</v>
      </c>
      <c r="D907">
        <v>59</v>
      </c>
      <c r="E907" s="2">
        <v>45687</v>
      </c>
      <c r="F907" s="2">
        <v>45698</v>
      </c>
      <c r="G907" s="1" t="s">
        <v>14</v>
      </c>
      <c r="H907">
        <v>87</v>
      </c>
      <c r="I907" s="19">
        <f>patients[[#This Row],[departure_date]]-patients[[#This Row],[arrival_date]]</f>
        <v>11</v>
      </c>
      <c r="J907" t="str">
        <f>IF(patients[[#This Row],[age]] &lt; 18,"0-17",IF(patients[[#This Row],[age]] &lt; 40,"18-39",IF(patients[[#This Row],[age]] &lt; 65,"40-64","65+")))</f>
        <v>40-64</v>
      </c>
      <c r="K907" s="1" t="str">
        <f>TEXT(patients[[#This Row],[arrival_date]],"[$-409]mmmm")</f>
        <v>January</v>
      </c>
      <c r="L907" s="1">
        <f>MATCH(K907, {"January";"February";"March";"April";"May";"June";"July";"August";"September";"October";"November";"December"}, 0)</f>
        <v>1</v>
      </c>
      <c r="M907" s="1" t="str" cm="1">
        <f t="array" ref="M907">IF(patients[[#This Row],[length_of_stay]]&gt;patients!$N$2:$N$2,"Over average","Less than average")</f>
        <v>Over average</v>
      </c>
    </row>
    <row r="908" spans="2:13" x14ac:dyDescent="0.25">
      <c r="B908" s="1" t="s">
        <v>1818</v>
      </c>
      <c r="C908" s="1" t="s">
        <v>1819</v>
      </c>
      <c r="D908">
        <v>75</v>
      </c>
      <c r="E908" s="2">
        <v>45747</v>
      </c>
      <c r="F908" s="2">
        <v>45760</v>
      </c>
      <c r="G908" s="1" t="s">
        <v>14</v>
      </c>
      <c r="H908">
        <v>67</v>
      </c>
      <c r="I908" s="19">
        <f>patients[[#This Row],[departure_date]]-patients[[#This Row],[arrival_date]]</f>
        <v>13</v>
      </c>
      <c r="J908" t="str">
        <f>IF(patients[[#This Row],[age]] &lt; 18,"0-17",IF(patients[[#This Row],[age]] &lt; 40,"18-39",IF(patients[[#This Row],[age]] &lt; 65,"40-64","65+")))</f>
        <v>65+</v>
      </c>
      <c r="K908" s="1" t="str">
        <f>TEXT(patients[[#This Row],[arrival_date]],"[$-409]mmmm")</f>
        <v>March</v>
      </c>
      <c r="L908" s="1">
        <f>MATCH(K908, {"January";"February";"March";"April";"May";"June";"July";"August";"September";"October";"November";"December"}, 0)</f>
        <v>3</v>
      </c>
      <c r="M908" s="1" t="str" cm="1">
        <f t="array" ref="M908">IF(patients[[#This Row],[length_of_stay]]&gt;patients!$N$2:$N$2,"Over average","Less than average")</f>
        <v>Over average</v>
      </c>
    </row>
    <row r="909" spans="2:13" x14ac:dyDescent="0.25">
      <c r="B909" s="1" t="s">
        <v>1820</v>
      </c>
      <c r="C909" s="1" t="s">
        <v>1821</v>
      </c>
      <c r="D909">
        <v>62</v>
      </c>
      <c r="E909" s="2">
        <v>45877</v>
      </c>
      <c r="F909" s="2">
        <v>45887</v>
      </c>
      <c r="G909" s="1" t="s">
        <v>20</v>
      </c>
      <c r="H909">
        <v>89</v>
      </c>
      <c r="I909" s="19">
        <f>patients[[#This Row],[departure_date]]-patients[[#This Row],[arrival_date]]</f>
        <v>10</v>
      </c>
      <c r="J909" t="str">
        <f>IF(patients[[#This Row],[age]] &lt; 18,"0-17",IF(patients[[#This Row],[age]] &lt; 40,"18-39",IF(patients[[#This Row],[age]] &lt; 65,"40-64","65+")))</f>
        <v>40-64</v>
      </c>
      <c r="K909" s="1" t="str">
        <f>TEXT(patients[[#This Row],[arrival_date]],"[$-409]mmmm")</f>
        <v>August</v>
      </c>
      <c r="L909" s="1">
        <f>MATCH(K909, {"January";"February";"March";"April";"May";"June";"July";"August";"September";"October";"November";"December"}, 0)</f>
        <v>8</v>
      </c>
      <c r="M909" s="1" t="str" cm="1">
        <f t="array" ref="M909">IF(patients[[#This Row],[length_of_stay]]&gt;patients!$N$2:$N$2,"Over average","Less than average")</f>
        <v>Over average</v>
      </c>
    </row>
    <row r="910" spans="2:13" x14ac:dyDescent="0.25">
      <c r="B910" s="1" t="s">
        <v>1822</v>
      </c>
      <c r="C910" s="1" t="s">
        <v>1823</v>
      </c>
      <c r="D910">
        <v>72</v>
      </c>
      <c r="E910" s="2">
        <v>45880</v>
      </c>
      <c r="F910" s="2">
        <v>45890</v>
      </c>
      <c r="G910" s="1" t="s">
        <v>14</v>
      </c>
      <c r="H910">
        <v>80</v>
      </c>
      <c r="I910" s="19">
        <f>patients[[#This Row],[departure_date]]-patients[[#This Row],[arrival_date]]</f>
        <v>10</v>
      </c>
      <c r="J910" t="str">
        <f>IF(patients[[#This Row],[age]] &lt; 18,"0-17",IF(patients[[#This Row],[age]] &lt; 40,"18-39",IF(patients[[#This Row],[age]] &lt; 65,"40-64","65+")))</f>
        <v>65+</v>
      </c>
      <c r="K910" s="1" t="str">
        <f>TEXT(patients[[#This Row],[arrival_date]],"[$-409]mmmm")</f>
        <v>August</v>
      </c>
      <c r="L910" s="1">
        <f>MATCH(K910, {"January";"February";"March";"April";"May";"June";"July";"August";"September";"October";"November";"December"}, 0)</f>
        <v>8</v>
      </c>
      <c r="M910" s="1" t="str" cm="1">
        <f t="array" ref="M910">IF(patients[[#This Row],[length_of_stay]]&gt;patients!$N$2:$N$2,"Over average","Less than average")</f>
        <v>Over average</v>
      </c>
    </row>
    <row r="911" spans="2:13" x14ac:dyDescent="0.25">
      <c r="B911" s="1" t="s">
        <v>1824</v>
      </c>
      <c r="C911" s="1" t="s">
        <v>1825</v>
      </c>
      <c r="D911">
        <v>55</v>
      </c>
      <c r="E911" s="2">
        <v>45819</v>
      </c>
      <c r="F911" s="2">
        <v>45826</v>
      </c>
      <c r="G911" s="1" t="s">
        <v>14</v>
      </c>
      <c r="H911">
        <v>90</v>
      </c>
      <c r="I911" s="19">
        <f>patients[[#This Row],[departure_date]]-patients[[#This Row],[arrival_date]]</f>
        <v>7</v>
      </c>
      <c r="J911" t="str">
        <f>IF(patients[[#This Row],[age]] &lt; 18,"0-17",IF(patients[[#This Row],[age]] &lt; 40,"18-39",IF(patients[[#This Row],[age]] &lt; 65,"40-64","65+")))</f>
        <v>40-64</v>
      </c>
      <c r="K911" s="1" t="str">
        <f>TEXT(patients[[#This Row],[arrival_date]],"[$-409]mmmm")</f>
        <v>June</v>
      </c>
      <c r="L911" s="1">
        <f>MATCH(K911, {"January";"February";"March";"April";"May";"June";"July";"August";"September";"October";"November";"December"}, 0)</f>
        <v>6</v>
      </c>
      <c r="M911" s="1" t="str" cm="1">
        <f t="array" ref="M911">IF(patients[[#This Row],[length_of_stay]]&gt;patients!$N$2:$N$2,"Over average","Less than average")</f>
        <v>Less than average</v>
      </c>
    </row>
    <row r="912" spans="2:13" x14ac:dyDescent="0.25">
      <c r="B912" s="1" t="s">
        <v>1826</v>
      </c>
      <c r="C912" s="1" t="s">
        <v>1827</v>
      </c>
      <c r="D912">
        <v>51</v>
      </c>
      <c r="E912" s="2">
        <v>45733</v>
      </c>
      <c r="F912" s="2">
        <v>45734</v>
      </c>
      <c r="G912" s="1" t="s">
        <v>17</v>
      </c>
      <c r="H912">
        <v>81</v>
      </c>
      <c r="I912" s="19">
        <f>patients[[#This Row],[departure_date]]-patients[[#This Row],[arrival_date]]</f>
        <v>1</v>
      </c>
      <c r="J912" t="str">
        <f>IF(patients[[#This Row],[age]] &lt; 18,"0-17",IF(patients[[#This Row],[age]] &lt; 40,"18-39",IF(patients[[#This Row],[age]] &lt; 65,"40-64","65+")))</f>
        <v>40-64</v>
      </c>
      <c r="K912" s="1" t="str">
        <f>TEXT(patients[[#This Row],[arrival_date]],"[$-409]mmmm")</f>
        <v>March</v>
      </c>
      <c r="L912" s="1">
        <f>MATCH(K912, {"January";"February";"March";"April";"May";"June";"July";"August";"September";"October";"November";"December"}, 0)</f>
        <v>3</v>
      </c>
      <c r="M912" s="1" t="str" cm="1">
        <f t="array" ref="M912">IF(patients[[#This Row],[length_of_stay]]&gt;patients!$N$2:$N$2,"Over average","Less than average")</f>
        <v>Less than average</v>
      </c>
    </row>
    <row r="913" spans="2:13" x14ac:dyDescent="0.25">
      <c r="B913" s="1" t="s">
        <v>1828</v>
      </c>
      <c r="C913" s="1" t="s">
        <v>1829</v>
      </c>
      <c r="D913">
        <v>39</v>
      </c>
      <c r="E913" s="2">
        <v>45768</v>
      </c>
      <c r="F913" s="2">
        <v>45769</v>
      </c>
      <c r="G913" s="1" t="s">
        <v>17</v>
      </c>
      <c r="H913">
        <v>60</v>
      </c>
      <c r="I913" s="19">
        <f>patients[[#This Row],[departure_date]]-patients[[#This Row],[arrival_date]]</f>
        <v>1</v>
      </c>
      <c r="J913" t="str">
        <f>IF(patients[[#This Row],[age]] &lt; 18,"0-17",IF(patients[[#This Row],[age]] &lt; 40,"18-39",IF(patients[[#This Row],[age]] &lt; 65,"40-64","65+")))</f>
        <v>18-39</v>
      </c>
      <c r="K913" s="1" t="str">
        <f>TEXT(patients[[#This Row],[arrival_date]],"[$-409]mmmm")</f>
        <v>April</v>
      </c>
      <c r="L913" s="1">
        <f>MATCH(K913, {"January";"February";"March";"April";"May";"June";"July";"August";"September";"October";"November";"December"}, 0)</f>
        <v>4</v>
      </c>
      <c r="M913" s="1" t="str" cm="1">
        <f t="array" ref="M913">IF(patients[[#This Row],[length_of_stay]]&gt;patients!$N$2:$N$2,"Over average","Less than average")</f>
        <v>Less than average</v>
      </c>
    </row>
    <row r="914" spans="2:13" x14ac:dyDescent="0.25">
      <c r="B914" s="1" t="s">
        <v>1830</v>
      </c>
      <c r="C914" s="1" t="s">
        <v>1831</v>
      </c>
      <c r="D914">
        <v>62</v>
      </c>
      <c r="E914" s="2">
        <v>45839</v>
      </c>
      <c r="F914" s="2">
        <v>45849</v>
      </c>
      <c r="G914" s="1" t="s">
        <v>9</v>
      </c>
      <c r="H914">
        <v>80</v>
      </c>
      <c r="I914" s="19">
        <f>patients[[#This Row],[departure_date]]-patients[[#This Row],[arrival_date]]</f>
        <v>10</v>
      </c>
      <c r="J914" t="str">
        <f>IF(patients[[#This Row],[age]] &lt; 18,"0-17",IF(patients[[#This Row],[age]] &lt; 40,"18-39",IF(patients[[#This Row],[age]] &lt; 65,"40-64","65+")))</f>
        <v>40-64</v>
      </c>
      <c r="K914" s="1" t="str">
        <f>TEXT(patients[[#This Row],[arrival_date]],"[$-409]mmmm")</f>
        <v>July</v>
      </c>
      <c r="L914" s="1">
        <f>MATCH(K914, {"January";"February";"March";"April";"May";"June";"July";"August";"September";"October";"November";"December"}, 0)</f>
        <v>7</v>
      </c>
      <c r="M914" s="1" t="str" cm="1">
        <f t="array" ref="M914">IF(patients[[#This Row],[length_of_stay]]&gt;patients!$N$2:$N$2,"Over average","Less than average")</f>
        <v>Over average</v>
      </c>
    </row>
    <row r="915" spans="2:13" x14ac:dyDescent="0.25">
      <c r="B915" s="1" t="s">
        <v>1832</v>
      </c>
      <c r="C915" s="1" t="s">
        <v>1833</v>
      </c>
      <c r="D915">
        <v>78</v>
      </c>
      <c r="E915" s="2">
        <v>45679</v>
      </c>
      <c r="F915" s="2">
        <v>45685</v>
      </c>
      <c r="G915" s="1" t="s">
        <v>17</v>
      </c>
      <c r="H915">
        <v>94</v>
      </c>
      <c r="I915" s="19">
        <f>patients[[#This Row],[departure_date]]-patients[[#This Row],[arrival_date]]</f>
        <v>6</v>
      </c>
      <c r="J915" t="str">
        <f>IF(patients[[#This Row],[age]] &lt; 18,"0-17",IF(patients[[#This Row],[age]] &lt; 40,"18-39",IF(patients[[#This Row],[age]] &lt; 65,"40-64","65+")))</f>
        <v>65+</v>
      </c>
      <c r="K915" s="1" t="str">
        <f>TEXT(patients[[#This Row],[arrival_date]],"[$-409]mmmm")</f>
        <v>January</v>
      </c>
      <c r="L915" s="1">
        <f>MATCH(K915, {"January";"February";"March";"April";"May";"June";"July";"August";"September";"October";"November";"December"}, 0)</f>
        <v>1</v>
      </c>
      <c r="M915" s="1" t="str" cm="1">
        <f t="array" ref="M915">IF(patients[[#This Row],[length_of_stay]]&gt;patients!$N$2:$N$2,"Over average","Less than average")</f>
        <v>Less than average</v>
      </c>
    </row>
    <row r="916" spans="2:13" x14ac:dyDescent="0.25">
      <c r="B916" s="1" t="s">
        <v>1834</v>
      </c>
      <c r="C916" s="1" t="s">
        <v>1835</v>
      </c>
      <c r="D916">
        <v>79</v>
      </c>
      <c r="E916" s="2">
        <v>45847</v>
      </c>
      <c r="F916" s="2">
        <v>45848</v>
      </c>
      <c r="G916" s="1" t="s">
        <v>20</v>
      </c>
      <c r="H916">
        <v>76</v>
      </c>
      <c r="I916" s="19">
        <f>patients[[#This Row],[departure_date]]-patients[[#This Row],[arrival_date]]</f>
        <v>1</v>
      </c>
      <c r="J916" t="str">
        <f>IF(patients[[#This Row],[age]] &lt; 18,"0-17",IF(patients[[#This Row],[age]] &lt; 40,"18-39",IF(patients[[#This Row],[age]] &lt; 65,"40-64","65+")))</f>
        <v>65+</v>
      </c>
      <c r="K916" s="1" t="str">
        <f>TEXT(patients[[#This Row],[arrival_date]],"[$-409]mmmm")</f>
        <v>July</v>
      </c>
      <c r="L916" s="1">
        <f>MATCH(K916, {"January";"February";"March";"April";"May";"June";"July";"August";"September";"October";"November";"December"}, 0)</f>
        <v>7</v>
      </c>
      <c r="M916" s="1" t="str" cm="1">
        <f t="array" ref="M916">IF(patients[[#This Row],[length_of_stay]]&gt;patients!$N$2:$N$2,"Over average","Less than average")</f>
        <v>Less than average</v>
      </c>
    </row>
    <row r="917" spans="2:13" x14ac:dyDescent="0.25">
      <c r="B917" s="1" t="s">
        <v>1836</v>
      </c>
      <c r="C917" s="1" t="s">
        <v>1837</v>
      </c>
      <c r="D917">
        <v>89</v>
      </c>
      <c r="E917" s="2">
        <v>45802</v>
      </c>
      <c r="F917" s="2">
        <v>45808</v>
      </c>
      <c r="G917" s="1" t="s">
        <v>17</v>
      </c>
      <c r="H917">
        <v>76</v>
      </c>
      <c r="I917" s="19">
        <f>patients[[#This Row],[departure_date]]-patients[[#This Row],[arrival_date]]</f>
        <v>6</v>
      </c>
      <c r="J917" t="str">
        <f>IF(patients[[#This Row],[age]] &lt; 18,"0-17",IF(patients[[#This Row],[age]] &lt; 40,"18-39",IF(patients[[#This Row],[age]] &lt; 65,"40-64","65+")))</f>
        <v>65+</v>
      </c>
      <c r="K917" s="1" t="str">
        <f>TEXT(patients[[#This Row],[arrival_date]],"[$-409]mmmm")</f>
        <v>May</v>
      </c>
      <c r="L917" s="1">
        <f>MATCH(K917, {"January";"February";"March";"April";"May";"June";"July";"August";"September";"October";"November";"December"}, 0)</f>
        <v>5</v>
      </c>
      <c r="M917" s="1" t="str" cm="1">
        <f t="array" ref="M917">IF(patients[[#This Row],[length_of_stay]]&gt;patients!$N$2:$N$2,"Over average","Less than average")</f>
        <v>Less than average</v>
      </c>
    </row>
    <row r="918" spans="2:13" x14ac:dyDescent="0.25">
      <c r="B918" s="1" t="s">
        <v>1838</v>
      </c>
      <c r="C918" s="1" t="s">
        <v>1839</v>
      </c>
      <c r="D918">
        <v>77</v>
      </c>
      <c r="E918" s="2">
        <v>45919</v>
      </c>
      <c r="F918" s="2">
        <v>45922</v>
      </c>
      <c r="G918" s="1" t="s">
        <v>17</v>
      </c>
      <c r="H918">
        <v>73</v>
      </c>
      <c r="I918" s="19">
        <f>patients[[#This Row],[departure_date]]-patients[[#This Row],[arrival_date]]</f>
        <v>3</v>
      </c>
      <c r="J918" t="str">
        <f>IF(patients[[#This Row],[age]] &lt; 18,"0-17",IF(patients[[#This Row],[age]] &lt; 40,"18-39",IF(patients[[#This Row],[age]] &lt; 65,"40-64","65+")))</f>
        <v>65+</v>
      </c>
      <c r="K918" s="1" t="str">
        <f>TEXT(patients[[#This Row],[arrival_date]],"[$-409]mmmm")</f>
        <v>September</v>
      </c>
      <c r="L918" s="1">
        <f>MATCH(K918, {"January";"February";"March";"April";"May";"June";"July";"August";"September";"October";"November";"December"}, 0)</f>
        <v>9</v>
      </c>
      <c r="M918" s="1" t="str" cm="1">
        <f t="array" ref="M918">IF(patients[[#This Row],[length_of_stay]]&gt;patients!$N$2:$N$2,"Over average","Less than average")</f>
        <v>Less than average</v>
      </c>
    </row>
    <row r="919" spans="2:13" x14ac:dyDescent="0.25">
      <c r="B919" s="1" t="s">
        <v>1840</v>
      </c>
      <c r="C919" s="1" t="s">
        <v>1841</v>
      </c>
      <c r="D919">
        <v>71</v>
      </c>
      <c r="E919" s="2">
        <v>45800</v>
      </c>
      <c r="F919" s="2">
        <v>45806</v>
      </c>
      <c r="G919" s="1" t="s">
        <v>17</v>
      </c>
      <c r="H919">
        <v>86</v>
      </c>
      <c r="I919" s="19">
        <f>patients[[#This Row],[departure_date]]-patients[[#This Row],[arrival_date]]</f>
        <v>6</v>
      </c>
      <c r="J919" t="str">
        <f>IF(patients[[#This Row],[age]] &lt; 18,"0-17",IF(patients[[#This Row],[age]] &lt; 40,"18-39",IF(patients[[#This Row],[age]] &lt; 65,"40-64","65+")))</f>
        <v>65+</v>
      </c>
      <c r="K919" s="1" t="str">
        <f>TEXT(patients[[#This Row],[arrival_date]],"[$-409]mmmm")</f>
        <v>May</v>
      </c>
      <c r="L919" s="1">
        <f>MATCH(K919, {"January";"February";"March";"April";"May";"June";"July";"August";"September";"October";"November";"December"}, 0)</f>
        <v>5</v>
      </c>
      <c r="M919" s="1" t="str" cm="1">
        <f t="array" ref="M919">IF(patients[[#This Row],[length_of_stay]]&gt;patients!$N$2:$N$2,"Over average","Less than average")</f>
        <v>Less than average</v>
      </c>
    </row>
    <row r="920" spans="2:13" x14ac:dyDescent="0.25">
      <c r="B920" s="1" t="s">
        <v>1842</v>
      </c>
      <c r="C920" s="1" t="s">
        <v>1843</v>
      </c>
      <c r="D920">
        <v>12</v>
      </c>
      <c r="E920" s="2">
        <v>45902</v>
      </c>
      <c r="F920" s="2">
        <v>45910</v>
      </c>
      <c r="G920" s="1" t="s">
        <v>17</v>
      </c>
      <c r="H920">
        <v>94</v>
      </c>
      <c r="I920" s="19">
        <f>patients[[#This Row],[departure_date]]-patients[[#This Row],[arrival_date]]</f>
        <v>8</v>
      </c>
      <c r="J920" t="str">
        <f>IF(patients[[#This Row],[age]] &lt; 18,"0-17",IF(patients[[#This Row],[age]] &lt; 40,"18-39",IF(patients[[#This Row],[age]] &lt; 65,"40-64","65+")))</f>
        <v>0-17</v>
      </c>
      <c r="K920" s="1" t="str">
        <f>TEXT(patients[[#This Row],[arrival_date]],"[$-409]mmmm")</f>
        <v>September</v>
      </c>
      <c r="L920" s="1">
        <f>MATCH(K920, {"January";"February";"March";"April";"May";"June";"July";"August";"September";"October";"November";"December"}, 0)</f>
        <v>9</v>
      </c>
      <c r="M920" s="1" t="str" cm="1">
        <f t="array" ref="M920">IF(patients[[#This Row],[length_of_stay]]&gt;patients!$N$2:$N$2,"Over average","Less than average")</f>
        <v>Over average</v>
      </c>
    </row>
    <row r="921" spans="2:13" x14ac:dyDescent="0.25">
      <c r="B921" s="1" t="s">
        <v>1844</v>
      </c>
      <c r="C921" s="1" t="s">
        <v>1845</v>
      </c>
      <c r="D921">
        <v>59</v>
      </c>
      <c r="E921" s="2">
        <v>45854</v>
      </c>
      <c r="F921" s="2">
        <v>45860</v>
      </c>
      <c r="G921" s="1" t="s">
        <v>9</v>
      </c>
      <c r="H921">
        <v>82</v>
      </c>
      <c r="I921" s="19">
        <f>patients[[#This Row],[departure_date]]-patients[[#This Row],[arrival_date]]</f>
        <v>6</v>
      </c>
      <c r="J921" t="str">
        <f>IF(patients[[#This Row],[age]] &lt; 18,"0-17",IF(patients[[#This Row],[age]] &lt; 40,"18-39",IF(patients[[#This Row],[age]] &lt; 65,"40-64","65+")))</f>
        <v>40-64</v>
      </c>
      <c r="K921" s="1" t="str">
        <f>TEXT(patients[[#This Row],[arrival_date]],"[$-409]mmmm")</f>
        <v>July</v>
      </c>
      <c r="L921" s="1">
        <f>MATCH(K921, {"January";"February";"March";"April";"May";"June";"July";"August";"September";"October";"November";"December"}, 0)</f>
        <v>7</v>
      </c>
      <c r="M921" s="1" t="str" cm="1">
        <f t="array" ref="M921">IF(patients[[#This Row],[length_of_stay]]&gt;patients!$N$2:$N$2,"Over average","Less than average")</f>
        <v>Less than average</v>
      </c>
    </row>
    <row r="922" spans="2:13" x14ac:dyDescent="0.25">
      <c r="B922" s="1" t="s">
        <v>1846</v>
      </c>
      <c r="C922" s="1" t="s">
        <v>1847</v>
      </c>
      <c r="D922">
        <v>88</v>
      </c>
      <c r="E922" s="2">
        <v>45683</v>
      </c>
      <c r="F922" s="2">
        <v>45688</v>
      </c>
      <c r="G922" s="1" t="s">
        <v>9</v>
      </c>
      <c r="H922">
        <v>85</v>
      </c>
      <c r="I922" s="19">
        <f>patients[[#This Row],[departure_date]]-patients[[#This Row],[arrival_date]]</f>
        <v>5</v>
      </c>
      <c r="J922" t="str">
        <f>IF(patients[[#This Row],[age]] &lt; 18,"0-17",IF(patients[[#This Row],[age]] &lt; 40,"18-39",IF(patients[[#This Row],[age]] &lt; 65,"40-64","65+")))</f>
        <v>65+</v>
      </c>
      <c r="K922" s="1" t="str">
        <f>TEXT(patients[[#This Row],[arrival_date]],"[$-409]mmmm")</f>
        <v>January</v>
      </c>
      <c r="L922" s="1">
        <f>MATCH(K922, {"January";"February";"March";"April";"May";"June";"July";"August";"September";"October";"November";"December"}, 0)</f>
        <v>1</v>
      </c>
      <c r="M922" s="1" t="str" cm="1">
        <f t="array" ref="M922">IF(patients[[#This Row],[length_of_stay]]&gt;patients!$N$2:$N$2,"Over average","Less than average")</f>
        <v>Less than average</v>
      </c>
    </row>
    <row r="923" spans="2:13" x14ac:dyDescent="0.25">
      <c r="B923" s="1" t="s">
        <v>1848</v>
      </c>
      <c r="C923" s="1" t="s">
        <v>1849</v>
      </c>
      <c r="D923">
        <v>19</v>
      </c>
      <c r="E923" s="2">
        <v>45855</v>
      </c>
      <c r="F923" s="2">
        <v>45866</v>
      </c>
      <c r="G923" s="1" t="s">
        <v>9</v>
      </c>
      <c r="H923">
        <v>77</v>
      </c>
      <c r="I923" s="19">
        <f>patients[[#This Row],[departure_date]]-patients[[#This Row],[arrival_date]]</f>
        <v>11</v>
      </c>
      <c r="J923" t="str">
        <f>IF(patients[[#This Row],[age]] &lt; 18,"0-17",IF(patients[[#This Row],[age]] &lt; 40,"18-39",IF(patients[[#This Row],[age]] &lt; 65,"40-64","65+")))</f>
        <v>18-39</v>
      </c>
      <c r="K923" s="1" t="str">
        <f>TEXT(patients[[#This Row],[arrival_date]],"[$-409]mmmm")</f>
        <v>July</v>
      </c>
      <c r="L923" s="1">
        <f>MATCH(K923, {"January";"February";"March";"April";"May";"June";"July";"August";"September";"October";"November";"December"}, 0)</f>
        <v>7</v>
      </c>
      <c r="M923" s="1" t="str" cm="1">
        <f t="array" ref="M923">IF(patients[[#This Row],[length_of_stay]]&gt;patients!$N$2:$N$2,"Over average","Less than average")</f>
        <v>Over average</v>
      </c>
    </row>
    <row r="924" spans="2:13" x14ac:dyDescent="0.25">
      <c r="B924" s="1" t="s">
        <v>1850</v>
      </c>
      <c r="C924" s="1" t="s">
        <v>1851</v>
      </c>
      <c r="D924">
        <v>3</v>
      </c>
      <c r="E924" s="2">
        <v>45906</v>
      </c>
      <c r="F924" s="2">
        <v>45920</v>
      </c>
      <c r="G924" s="1" t="s">
        <v>17</v>
      </c>
      <c r="H924">
        <v>73</v>
      </c>
      <c r="I924" s="19">
        <f>patients[[#This Row],[departure_date]]-patients[[#This Row],[arrival_date]]</f>
        <v>14</v>
      </c>
      <c r="J924" t="str">
        <f>IF(patients[[#This Row],[age]] &lt; 18,"0-17",IF(patients[[#This Row],[age]] &lt; 40,"18-39",IF(patients[[#This Row],[age]] &lt; 65,"40-64","65+")))</f>
        <v>0-17</v>
      </c>
      <c r="K924" s="1" t="str">
        <f>TEXT(patients[[#This Row],[arrival_date]],"[$-409]mmmm")</f>
        <v>September</v>
      </c>
      <c r="L924" s="1">
        <f>MATCH(K924, {"January";"February";"March";"April";"May";"June";"July";"August";"September";"October";"November";"December"}, 0)</f>
        <v>9</v>
      </c>
      <c r="M924" s="1" t="str" cm="1">
        <f t="array" ref="M924">IF(patients[[#This Row],[length_of_stay]]&gt;patients!$N$2:$N$2,"Over average","Less than average")</f>
        <v>Over average</v>
      </c>
    </row>
    <row r="925" spans="2:13" x14ac:dyDescent="0.25">
      <c r="B925" s="1" t="s">
        <v>1852</v>
      </c>
      <c r="C925" s="1" t="s">
        <v>1853</v>
      </c>
      <c r="D925">
        <v>12</v>
      </c>
      <c r="E925" s="2">
        <v>45701</v>
      </c>
      <c r="F925" s="2">
        <v>45708</v>
      </c>
      <c r="G925" s="1" t="s">
        <v>14</v>
      </c>
      <c r="H925">
        <v>74</v>
      </c>
      <c r="I925" s="19">
        <f>patients[[#This Row],[departure_date]]-patients[[#This Row],[arrival_date]]</f>
        <v>7</v>
      </c>
      <c r="J925" t="str">
        <f>IF(patients[[#This Row],[age]] &lt; 18,"0-17",IF(patients[[#This Row],[age]] &lt; 40,"18-39",IF(patients[[#This Row],[age]] &lt; 65,"40-64","65+")))</f>
        <v>0-17</v>
      </c>
      <c r="K925" s="1" t="str">
        <f>TEXT(patients[[#This Row],[arrival_date]],"[$-409]mmmm")</f>
        <v>February</v>
      </c>
      <c r="L925" s="1">
        <f>MATCH(K925, {"January";"February";"March";"April";"May";"June";"July";"August";"September";"October";"November";"December"}, 0)</f>
        <v>2</v>
      </c>
      <c r="M925" s="1" t="str" cm="1">
        <f t="array" ref="M925">IF(patients[[#This Row],[length_of_stay]]&gt;patients!$N$2:$N$2,"Over average","Less than average")</f>
        <v>Less than average</v>
      </c>
    </row>
    <row r="926" spans="2:13" x14ac:dyDescent="0.25">
      <c r="B926" s="1" t="s">
        <v>1854</v>
      </c>
      <c r="C926" s="1" t="s">
        <v>1855</v>
      </c>
      <c r="D926">
        <v>18</v>
      </c>
      <c r="E926" s="2">
        <v>45896</v>
      </c>
      <c r="F926" s="2">
        <v>45908</v>
      </c>
      <c r="G926" s="1" t="s">
        <v>14</v>
      </c>
      <c r="H926">
        <v>94</v>
      </c>
      <c r="I926" s="19">
        <f>patients[[#This Row],[departure_date]]-patients[[#This Row],[arrival_date]]</f>
        <v>12</v>
      </c>
      <c r="J926" t="str">
        <f>IF(patients[[#This Row],[age]] &lt; 18,"0-17",IF(patients[[#This Row],[age]] &lt; 40,"18-39",IF(patients[[#This Row],[age]] &lt; 65,"40-64","65+")))</f>
        <v>18-39</v>
      </c>
      <c r="K926" s="1" t="str">
        <f>TEXT(patients[[#This Row],[arrival_date]],"[$-409]mmmm")</f>
        <v>August</v>
      </c>
      <c r="L926" s="1">
        <f>MATCH(K926, {"January";"February";"March";"April";"May";"June";"July";"August";"September";"October";"November";"December"}, 0)</f>
        <v>8</v>
      </c>
      <c r="M926" s="1" t="str" cm="1">
        <f t="array" ref="M926">IF(patients[[#This Row],[length_of_stay]]&gt;patients!$N$2:$N$2,"Over average","Less than average")</f>
        <v>Over average</v>
      </c>
    </row>
    <row r="927" spans="2:13" x14ac:dyDescent="0.25">
      <c r="B927" s="1" t="s">
        <v>1856</v>
      </c>
      <c r="C927" s="1" t="s">
        <v>1857</v>
      </c>
      <c r="D927">
        <v>80</v>
      </c>
      <c r="E927" s="2">
        <v>45757</v>
      </c>
      <c r="F927" s="2">
        <v>45760</v>
      </c>
      <c r="G927" s="1" t="s">
        <v>14</v>
      </c>
      <c r="H927">
        <v>91</v>
      </c>
      <c r="I927" s="19">
        <f>patients[[#This Row],[departure_date]]-patients[[#This Row],[arrival_date]]</f>
        <v>3</v>
      </c>
      <c r="J927" t="str">
        <f>IF(patients[[#This Row],[age]] &lt; 18,"0-17",IF(patients[[#This Row],[age]] &lt; 40,"18-39",IF(patients[[#This Row],[age]] &lt; 65,"40-64","65+")))</f>
        <v>65+</v>
      </c>
      <c r="K927" s="1" t="str">
        <f>TEXT(patients[[#This Row],[arrival_date]],"[$-409]mmmm")</f>
        <v>April</v>
      </c>
      <c r="L927" s="1">
        <f>MATCH(K927, {"January";"February";"March";"April";"May";"June";"July";"August";"September";"October";"November";"December"}, 0)</f>
        <v>4</v>
      </c>
      <c r="M927" s="1" t="str" cm="1">
        <f t="array" ref="M927">IF(patients[[#This Row],[length_of_stay]]&gt;patients!$N$2:$N$2,"Over average","Less than average")</f>
        <v>Less than average</v>
      </c>
    </row>
    <row r="928" spans="2:13" x14ac:dyDescent="0.25">
      <c r="B928" s="1" t="s">
        <v>1858</v>
      </c>
      <c r="C928" s="1" t="s">
        <v>1010</v>
      </c>
      <c r="D928">
        <v>47</v>
      </c>
      <c r="E928" s="2">
        <v>46017</v>
      </c>
      <c r="F928" s="2">
        <v>46025</v>
      </c>
      <c r="G928" s="1" t="s">
        <v>20</v>
      </c>
      <c r="H928">
        <v>76</v>
      </c>
      <c r="I928" s="19">
        <f>patients[[#This Row],[departure_date]]-patients[[#This Row],[arrival_date]]</f>
        <v>8</v>
      </c>
      <c r="J928" t="str">
        <f>IF(patients[[#This Row],[age]] &lt; 18,"0-17",IF(patients[[#This Row],[age]] &lt; 40,"18-39",IF(patients[[#This Row],[age]] &lt; 65,"40-64","65+")))</f>
        <v>40-64</v>
      </c>
      <c r="K928" s="1" t="str">
        <f>TEXT(patients[[#This Row],[arrival_date]],"[$-409]mmmm")</f>
        <v>December</v>
      </c>
      <c r="L928" s="1">
        <f>MATCH(K928, {"January";"February";"March";"April";"May";"June";"July";"August";"September";"October";"November";"December"}, 0)</f>
        <v>12</v>
      </c>
      <c r="M928" s="1" t="str" cm="1">
        <f t="array" ref="M928">IF(patients[[#This Row],[length_of_stay]]&gt;patients!$N$2:$N$2,"Over average","Less than average")</f>
        <v>Over average</v>
      </c>
    </row>
    <row r="929" spans="2:13" x14ac:dyDescent="0.25">
      <c r="B929" s="1" t="s">
        <v>1859</v>
      </c>
      <c r="C929" s="1" t="s">
        <v>1860</v>
      </c>
      <c r="D929">
        <v>70</v>
      </c>
      <c r="E929" s="2">
        <v>45707</v>
      </c>
      <c r="F929" s="2">
        <v>45708</v>
      </c>
      <c r="G929" s="1" t="s">
        <v>14</v>
      </c>
      <c r="H929">
        <v>94</v>
      </c>
      <c r="I929" s="19">
        <f>patients[[#This Row],[departure_date]]-patients[[#This Row],[arrival_date]]</f>
        <v>1</v>
      </c>
      <c r="J929" t="str">
        <f>IF(patients[[#This Row],[age]] &lt; 18,"0-17",IF(patients[[#This Row],[age]] &lt; 40,"18-39",IF(patients[[#This Row],[age]] &lt; 65,"40-64","65+")))</f>
        <v>65+</v>
      </c>
      <c r="K929" s="1" t="str">
        <f>TEXT(patients[[#This Row],[arrival_date]],"[$-409]mmmm")</f>
        <v>February</v>
      </c>
      <c r="L929" s="1">
        <f>MATCH(K929, {"January";"February";"March";"April";"May";"June";"July";"August";"September";"October";"November";"December"}, 0)</f>
        <v>2</v>
      </c>
      <c r="M929" s="1" t="str" cm="1">
        <f t="array" ref="M929">IF(patients[[#This Row],[length_of_stay]]&gt;patients!$N$2:$N$2,"Over average","Less than average")</f>
        <v>Less than average</v>
      </c>
    </row>
    <row r="930" spans="2:13" x14ac:dyDescent="0.25">
      <c r="B930" s="1" t="s">
        <v>1861</v>
      </c>
      <c r="C930" s="1" t="s">
        <v>1862</v>
      </c>
      <c r="D930">
        <v>31</v>
      </c>
      <c r="E930" s="2">
        <v>45798</v>
      </c>
      <c r="F930" s="2">
        <v>45804</v>
      </c>
      <c r="G930" s="1" t="s">
        <v>20</v>
      </c>
      <c r="H930">
        <v>73</v>
      </c>
      <c r="I930" s="19">
        <f>patients[[#This Row],[departure_date]]-patients[[#This Row],[arrival_date]]</f>
        <v>6</v>
      </c>
      <c r="J930" t="str">
        <f>IF(patients[[#This Row],[age]] &lt; 18,"0-17",IF(patients[[#This Row],[age]] &lt; 40,"18-39",IF(patients[[#This Row],[age]] &lt; 65,"40-64","65+")))</f>
        <v>18-39</v>
      </c>
      <c r="K930" s="1" t="str">
        <f>TEXT(patients[[#This Row],[arrival_date]],"[$-409]mmmm")</f>
        <v>May</v>
      </c>
      <c r="L930" s="1">
        <f>MATCH(K930, {"January";"February";"March";"April";"May";"June";"July";"August";"September";"October";"November";"December"}, 0)</f>
        <v>5</v>
      </c>
      <c r="M930" s="1" t="str" cm="1">
        <f t="array" ref="M930">IF(patients[[#This Row],[length_of_stay]]&gt;patients!$N$2:$N$2,"Over average","Less than average")</f>
        <v>Less than average</v>
      </c>
    </row>
    <row r="931" spans="2:13" x14ac:dyDescent="0.25">
      <c r="B931" s="1" t="s">
        <v>1863</v>
      </c>
      <c r="C931" s="1" t="s">
        <v>1864</v>
      </c>
      <c r="D931">
        <v>36</v>
      </c>
      <c r="E931" s="2">
        <v>45896</v>
      </c>
      <c r="F931" s="2">
        <v>45910</v>
      </c>
      <c r="G931" s="1" t="s">
        <v>20</v>
      </c>
      <c r="H931">
        <v>63</v>
      </c>
      <c r="I931" s="19">
        <f>patients[[#This Row],[departure_date]]-patients[[#This Row],[arrival_date]]</f>
        <v>14</v>
      </c>
      <c r="J931" t="str">
        <f>IF(patients[[#This Row],[age]] &lt; 18,"0-17",IF(patients[[#This Row],[age]] &lt; 40,"18-39",IF(patients[[#This Row],[age]] &lt; 65,"40-64","65+")))</f>
        <v>18-39</v>
      </c>
      <c r="K931" s="1" t="str">
        <f>TEXT(patients[[#This Row],[arrival_date]],"[$-409]mmmm")</f>
        <v>August</v>
      </c>
      <c r="L931" s="1">
        <f>MATCH(K931, {"January";"February";"March";"April";"May";"June";"July";"August";"September";"October";"November";"December"}, 0)</f>
        <v>8</v>
      </c>
      <c r="M931" s="1" t="str" cm="1">
        <f t="array" ref="M931">IF(patients[[#This Row],[length_of_stay]]&gt;patients!$N$2:$N$2,"Over average","Less than average")</f>
        <v>Over average</v>
      </c>
    </row>
    <row r="932" spans="2:13" x14ac:dyDescent="0.25">
      <c r="B932" s="1" t="s">
        <v>1865</v>
      </c>
      <c r="C932" s="1" t="s">
        <v>1866</v>
      </c>
      <c r="D932">
        <v>39</v>
      </c>
      <c r="E932" s="2">
        <v>45865</v>
      </c>
      <c r="F932" s="2">
        <v>45877</v>
      </c>
      <c r="G932" s="1" t="s">
        <v>14</v>
      </c>
      <c r="H932">
        <v>75</v>
      </c>
      <c r="I932" s="19">
        <f>patients[[#This Row],[departure_date]]-patients[[#This Row],[arrival_date]]</f>
        <v>12</v>
      </c>
      <c r="J932" t="str">
        <f>IF(patients[[#This Row],[age]] &lt; 18,"0-17",IF(patients[[#This Row],[age]] &lt; 40,"18-39",IF(patients[[#This Row],[age]] &lt; 65,"40-64","65+")))</f>
        <v>18-39</v>
      </c>
      <c r="K932" s="1" t="str">
        <f>TEXT(patients[[#This Row],[arrival_date]],"[$-409]mmmm")</f>
        <v>July</v>
      </c>
      <c r="L932" s="1">
        <f>MATCH(K932, {"January";"February";"March";"April";"May";"June";"July";"August";"September";"October";"November";"December"}, 0)</f>
        <v>7</v>
      </c>
      <c r="M932" s="1" t="str" cm="1">
        <f t="array" ref="M932">IF(patients[[#This Row],[length_of_stay]]&gt;patients!$N$2:$N$2,"Over average","Less than average")</f>
        <v>Over average</v>
      </c>
    </row>
    <row r="933" spans="2:13" x14ac:dyDescent="0.25">
      <c r="B933" s="1" t="s">
        <v>1867</v>
      </c>
      <c r="C933" s="1" t="s">
        <v>1868</v>
      </c>
      <c r="D933">
        <v>61</v>
      </c>
      <c r="E933" s="2">
        <v>46003</v>
      </c>
      <c r="F933" s="2">
        <v>46015</v>
      </c>
      <c r="G933" s="1" t="s">
        <v>20</v>
      </c>
      <c r="H933">
        <v>91</v>
      </c>
      <c r="I933" s="19">
        <f>patients[[#This Row],[departure_date]]-patients[[#This Row],[arrival_date]]</f>
        <v>12</v>
      </c>
      <c r="J933" t="str">
        <f>IF(patients[[#This Row],[age]] &lt; 18,"0-17",IF(patients[[#This Row],[age]] &lt; 40,"18-39",IF(patients[[#This Row],[age]] &lt; 65,"40-64","65+")))</f>
        <v>40-64</v>
      </c>
      <c r="K933" s="1" t="str">
        <f>TEXT(patients[[#This Row],[arrival_date]],"[$-409]mmmm")</f>
        <v>December</v>
      </c>
      <c r="L933" s="1">
        <f>MATCH(K933, {"January";"February";"March";"April";"May";"June";"July";"August";"September";"October";"November";"December"}, 0)</f>
        <v>12</v>
      </c>
      <c r="M933" s="1" t="str" cm="1">
        <f t="array" ref="M933">IF(patients[[#This Row],[length_of_stay]]&gt;patients!$N$2:$N$2,"Over average","Less than average")</f>
        <v>Over average</v>
      </c>
    </row>
    <row r="934" spans="2:13" x14ac:dyDescent="0.25">
      <c r="B934" s="1" t="s">
        <v>1869</v>
      </c>
      <c r="C934" s="1" t="s">
        <v>1870</v>
      </c>
      <c r="D934">
        <v>65</v>
      </c>
      <c r="E934" s="2">
        <v>45916</v>
      </c>
      <c r="F934" s="2">
        <v>45922</v>
      </c>
      <c r="G934" s="1" t="s">
        <v>14</v>
      </c>
      <c r="H934">
        <v>67</v>
      </c>
      <c r="I934" s="19">
        <f>patients[[#This Row],[departure_date]]-patients[[#This Row],[arrival_date]]</f>
        <v>6</v>
      </c>
      <c r="J934" t="str">
        <f>IF(patients[[#This Row],[age]] &lt; 18,"0-17",IF(patients[[#This Row],[age]] &lt; 40,"18-39",IF(patients[[#This Row],[age]] &lt; 65,"40-64","65+")))</f>
        <v>65+</v>
      </c>
      <c r="K934" s="1" t="str">
        <f>TEXT(patients[[#This Row],[arrival_date]],"[$-409]mmmm")</f>
        <v>September</v>
      </c>
      <c r="L934" s="1">
        <f>MATCH(K934, {"January";"February";"March";"April";"May";"June";"July";"August";"September";"October";"November";"December"}, 0)</f>
        <v>9</v>
      </c>
      <c r="M934" s="1" t="str" cm="1">
        <f t="array" ref="M934">IF(patients[[#This Row],[length_of_stay]]&gt;patients!$N$2:$N$2,"Over average","Less than average")</f>
        <v>Less than average</v>
      </c>
    </row>
    <row r="935" spans="2:13" x14ac:dyDescent="0.25">
      <c r="B935" s="1" t="s">
        <v>1871</v>
      </c>
      <c r="C935" s="1" t="s">
        <v>1872</v>
      </c>
      <c r="D935">
        <v>23</v>
      </c>
      <c r="E935" s="2">
        <v>45828</v>
      </c>
      <c r="F935" s="2">
        <v>45837</v>
      </c>
      <c r="G935" s="1" t="s">
        <v>14</v>
      </c>
      <c r="H935">
        <v>98</v>
      </c>
      <c r="I935" s="19">
        <f>patients[[#This Row],[departure_date]]-patients[[#This Row],[arrival_date]]</f>
        <v>9</v>
      </c>
      <c r="J935" t="str">
        <f>IF(patients[[#This Row],[age]] &lt; 18,"0-17",IF(patients[[#This Row],[age]] &lt; 40,"18-39",IF(patients[[#This Row],[age]] &lt; 65,"40-64","65+")))</f>
        <v>18-39</v>
      </c>
      <c r="K935" s="1" t="str">
        <f>TEXT(patients[[#This Row],[arrival_date]],"[$-409]mmmm")</f>
        <v>June</v>
      </c>
      <c r="L935" s="1">
        <f>MATCH(K935, {"January";"February";"March";"April";"May";"June";"July";"August";"September";"October";"November";"December"}, 0)</f>
        <v>6</v>
      </c>
      <c r="M935" s="1" t="str" cm="1">
        <f t="array" ref="M935">IF(patients[[#This Row],[length_of_stay]]&gt;patients!$N$2:$N$2,"Over average","Less than average")</f>
        <v>Over average</v>
      </c>
    </row>
    <row r="936" spans="2:13" x14ac:dyDescent="0.25">
      <c r="B936" s="1" t="s">
        <v>1873</v>
      </c>
      <c r="C936" s="1" t="s">
        <v>1874</v>
      </c>
      <c r="D936">
        <v>44</v>
      </c>
      <c r="E936" s="2">
        <v>45921</v>
      </c>
      <c r="F936" s="2">
        <v>45928</v>
      </c>
      <c r="G936" s="1" t="s">
        <v>9</v>
      </c>
      <c r="H936">
        <v>98</v>
      </c>
      <c r="I936" s="19">
        <f>patients[[#This Row],[departure_date]]-patients[[#This Row],[arrival_date]]</f>
        <v>7</v>
      </c>
      <c r="J936" t="str">
        <f>IF(patients[[#This Row],[age]] &lt; 18,"0-17",IF(patients[[#This Row],[age]] &lt; 40,"18-39",IF(patients[[#This Row],[age]] &lt; 65,"40-64","65+")))</f>
        <v>40-64</v>
      </c>
      <c r="K936" s="1" t="str">
        <f>TEXT(patients[[#This Row],[arrival_date]],"[$-409]mmmm")</f>
        <v>September</v>
      </c>
      <c r="L936" s="1">
        <f>MATCH(K936, {"January";"February";"March";"April";"May";"June";"July";"August";"September";"October";"November";"December"}, 0)</f>
        <v>9</v>
      </c>
      <c r="M936" s="1" t="str" cm="1">
        <f t="array" ref="M936">IF(patients[[#This Row],[length_of_stay]]&gt;patients!$N$2:$N$2,"Over average","Less than average")</f>
        <v>Less than average</v>
      </c>
    </row>
    <row r="937" spans="2:13" x14ac:dyDescent="0.25">
      <c r="B937" s="1" t="s">
        <v>1875</v>
      </c>
      <c r="C937" s="1" t="s">
        <v>1876</v>
      </c>
      <c r="D937">
        <v>56</v>
      </c>
      <c r="E937" s="2">
        <v>45943</v>
      </c>
      <c r="F937" s="2">
        <v>45953</v>
      </c>
      <c r="G937" s="1" t="s">
        <v>20</v>
      </c>
      <c r="H937">
        <v>97</v>
      </c>
      <c r="I937" s="19">
        <f>patients[[#This Row],[departure_date]]-patients[[#This Row],[arrival_date]]</f>
        <v>10</v>
      </c>
      <c r="J937" t="str">
        <f>IF(patients[[#This Row],[age]] &lt; 18,"0-17",IF(patients[[#This Row],[age]] &lt; 40,"18-39",IF(patients[[#This Row],[age]] &lt; 65,"40-64","65+")))</f>
        <v>40-64</v>
      </c>
      <c r="K937" s="1" t="str">
        <f>TEXT(patients[[#This Row],[arrival_date]],"[$-409]mmmm")</f>
        <v>October</v>
      </c>
      <c r="L937" s="1">
        <f>MATCH(K937, {"January";"February";"March";"April";"May";"June";"July";"August";"September";"October";"November";"December"}, 0)</f>
        <v>10</v>
      </c>
      <c r="M937" s="1" t="str" cm="1">
        <f t="array" ref="M937">IF(patients[[#This Row],[length_of_stay]]&gt;patients!$N$2:$N$2,"Over average","Less than average")</f>
        <v>Over average</v>
      </c>
    </row>
    <row r="938" spans="2:13" x14ac:dyDescent="0.25">
      <c r="B938" s="1" t="s">
        <v>1877</v>
      </c>
      <c r="C938" s="1" t="s">
        <v>1878</v>
      </c>
      <c r="D938">
        <v>17</v>
      </c>
      <c r="E938" s="2">
        <v>45854</v>
      </c>
      <c r="F938" s="2">
        <v>45859</v>
      </c>
      <c r="G938" s="1" t="s">
        <v>9</v>
      </c>
      <c r="H938">
        <v>88</v>
      </c>
      <c r="I938" s="19">
        <f>patients[[#This Row],[departure_date]]-patients[[#This Row],[arrival_date]]</f>
        <v>5</v>
      </c>
      <c r="J938" t="str">
        <f>IF(patients[[#This Row],[age]] &lt; 18,"0-17",IF(patients[[#This Row],[age]] &lt; 40,"18-39",IF(patients[[#This Row],[age]] &lt; 65,"40-64","65+")))</f>
        <v>0-17</v>
      </c>
      <c r="K938" s="1" t="str">
        <f>TEXT(patients[[#This Row],[arrival_date]],"[$-409]mmmm")</f>
        <v>July</v>
      </c>
      <c r="L938" s="1">
        <f>MATCH(K938, {"January";"February";"March";"April";"May";"June";"July";"August";"September";"October";"November";"December"}, 0)</f>
        <v>7</v>
      </c>
      <c r="M938" s="1" t="str" cm="1">
        <f t="array" ref="M938">IF(patients[[#This Row],[length_of_stay]]&gt;patients!$N$2:$N$2,"Over average","Less than average")</f>
        <v>Less than average</v>
      </c>
    </row>
    <row r="939" spans="2:13" x14ac:dyDescent="0.25">
      <c r="B939" s="1" t="s">
        <v>1879</v>
      </c>
      <c r="C939" s="1" t="s">
        <v>1880</v>
      </c>
      <c r="D939">
        <v>38</v>
      </c>
      <c r="E939" s="2">
        <v>45755</v>
      </c>
      <c r="F939" s="2">
        <v>45766</v>
      </c>
      <c r="G939" s="1" t="s">
        <v>20</v>
      </c>
      <c r="H939">
        <v>82</v>
      </c>
      <c r="I939" s="19">
        <f>patients[[#This Row],[departure_date]]-patients[[#This Row],[arrival_date]]</f>
        <v>11</v>
      </c>
      <c r="J939" t="str">
        <f>IF(patients[[#This Row],[age]] &lt; 18,"0-17",IF(patients[[#This Row],[age]] &lt; 40,"18-39",IF(patients[[#This Row],[age]] &lt; 65,"40-64","65+")))</f>
        <v>18-39</v>
      </c>
      <c r="K939" s="1" t="str">
        <f>TEXT(patients[[#This Row],[arrival_date]],"[$-409]mmmm")</f>
        <v>April</v>
      </c>
      <c r="L939" s="1">
        <f>MATCH(K939, {"January";"February";"March";"April";"May";"June";"July";"August";"September";"October";"November";"December"}, 0)</f>
        <v>4</v>
      </c>
      <c r="M939" s="1" t="str" cm="1">
        <f t="array" ref="M939">IF(patients[[#This Row],[length_of_stay]]&gt;patients!$N$2:$N$2,"Over average","Less than average")</f>
        <v>Over average</v>
      </c>
    </row>
    <row r="940" spans="2:13" x14ac:dyDescent="0.25">
      <c r="B940" s="1" t="s">
        <v>1881</v>
      </c>
      <c r="C940" s="1" t="s">
        <v>1882</v>
      </c>
      <c r="D940">
        <v>68</v>
      </c>
      <c r="E940" s="2">
        <v>45779</v>
      </c>
      <c r="F940" s="2">
        <v>45792</v>
      </c>
      <c r="G940" s="1" t="s">
        <v>9</v>
      </c>
      <c r="H940">
        <v>63</v>
      </c>
      <c r="I940" s="19">
        <f>patients[[#This Row],[departure_date]]-patients[[#This Row],[arrival_date]]</f>
        <v>13</v>
      </c>
      <c r="J940" t="str">
        <f>IF(patients[[#This Row],[age]] &lt; 18,"0-17",IF(patients[[#This Row],[age]] &lt; 40,"18-39",IF(patients[[#This Row],[age]] &lt; 65,"40-64","65+")))</f>
        <v>65+</v>
      </c>
      <c r="K940" s="1" t="str">
        <f>TEXT(patients[[#This Row],[arrival_date]],"[$-409]mmmm")</f>
        <v>May</v>
      </c>
      <c r="L940" s="1">
        <f>MATCH(K940, {"January";"February";"March";"April";"May";"June";"July";"August";"September";"October";"November";"December"}, 0)</f>
        <v>5</v>
      </c>
      <c r="M940" s="1" t="str" cm="1">
        <f t="array" ref="M940">IF(patients[[#This Row],[length_of_stay]]&gt;patients!$N$2:$N$2,"Over average","Less than average")</f>
        <v>Over average</v>
      </c>
    </row>
    <row r="941" spans="2:13" x14ac:dyDescent="0.25">
      <c r="B941" s="1" t="s">
        <v>1883</v>
      </c>
      <c r="C941" s="1" t="s">
        <v>1884</v>
      </c>
      <c r="D941">
        <v>22</v>
      </c>
      <c r="E941" s="2">
        <v>45945</v>
      </c>
      <c r="F941" s="2">
        <v>45955</v>
      </c>
      <c r="G941" s="1" t="s">
        <v>9</v>
      </c>
      <c r="H941">
        <v>77</v>
      </c>
      <c r="I941" s="19">
        <f>patients[[#This Row],[departure_date]]-patients[[#This Row],[arrival_date]]</f>
        <v>10</v>
      </c>
      <c r="J941" t="str">
        <f>IF(patients[[#This Row],[age]] &lt; 18,"0-17",IF(patients[[#This Row],[age]] &lt; 40,"18-39",IF(patients[[#This Row],[age]] &lt; 65,"40-64","65+")))</f>
        <v>18-39</v>
      </c>
      <c r="K941" s="1" t="str">
        <f>TEXT(patients[[#This Row],[arrival_date]],"[$-409]mmmm")</f>
        <v>October</v>
      </c>
      <c r="L941" s="1">
        <f>MATCH(K941, {"January";"February";"March";"April";"May";"June";"July";"August";"September";"October";"November";"December"}, 0)</f>
        <v>10</v>
      </c>
      <c r="M941" s="1" t="str" cm="1">
        <f t="array" ref="M941">IF(patients[[#This Row],[length_of_stay]]&gt;patients!$N$2:$N$2,"Over average","Less than average")</f>
        <v>Over average</v>
      </c>
    </row>
    <row r="942" spans="2:13" x14ac:dyDescent="0.25">
      <c r="B942" s="1" t="s">
        <v>1885</v>
      </c>
      <c r="C942" s="1" t="s">
        <v>1886</v>
      </c>
      <c r="D942">
        <v>14</v>
      </c>
      <c r="E942" s="2">
        <v>45753</v>
      </c>
      <c r="F942" s="2">
        <v>45762</v>
      </c>
      <c r="G942" s="1" t="s">
        <v>20</v>
      </c>
      <c r="H942">
        <v>96</v>
      </c>
      <c r="I942" s="19">
        <f>patients[[#This Row],[departure_date]]-patients[[#This Row],[arrival_date]]</f>
        <v>9</v>
      </c>
      <c r="J942" t="str">
        <f>IF(patients[[#This Row],[age]] &lt; 18,"0-17",IF(patients[[#This Row],[age]] &lt; 40,"18-39",IF(patients[[#This Row],[age]] &lt; 65,"40-64","65+")))</f>
        <v>0-17</v>
      </c>
      <c r="K942" s="1" t="str">
        <f>TEXT(patients[[#This Row],[arrival_date]],"[$-409]mmmm")</f>
        <v>April</v>
      </c>
      <c r="L942" s="1">
        <f>MATCH(K942, {"January";"February";"March";"April";"May";"June";"July";"August";"September";"October";"November";"December"}, 0)</f>
        <v>4</v>
      </c>
      <c r="M942" s="1" t="str" cm="1">
        <f t="array" ref="M942">IF(patients[[#This Row],[length_of_stay]]&gt;patients!$N$2:$N$2,"Over average","Less than average")</f>
        <v>Over average</v>
      </c>
    </row>
    <row r="943" spans="2:13" x14ac:dyDescent="0.25">
      <c r="B943" s="1" t="s">
        <v>1887</v>
      </c>
      <c r="C943" s="1" t="s">
        <v>1888</v>
      </c>
      <c r="D943">
        <v>73</v>
      </c>
      <c r="E943" s="2">
        <v>45663</v>
      </c>
      <c r="F943" s="2">
        <v>45671</v>
      </c>
      <c r="G943" s="1" t="s">
        <v>20</v>
      </c>
      <c r="H943">
        <v>62</v>
      </c>
      <c r="I943" s="19">
        <f>patients[[#This Row],[departure_date]]-patients[[#This Row],[arrival_date]]</f>
        <v>8</v>
      </c>
      <c r="J943" t="str">
        <f>IF(patients[[#This Row],[age]] &lt; 18,"0-17",IF(patients[[#This Row],[age]] &lt; 40,"18-39",IF(patients[[#This Row],[age]] &lt; 65,"40-64","65+")))</f>
        <v>65+</v>
      </c>
      <c r="K943" s="1" t="str">
        <f>TEXT(patients[[#This Row],[arrival_date]],"[$-409]mmmm")</f>
        <v>January</v>
      </c>
      <c r="L943" s="1">
        <f>MATCH(K943, {"January";"February";"March";"April";"May";"June";"July";"August";"September";"October";"November";"December"}, 0)</f>
        <v>1</v>
      </c>
      <c r="M943" s="1" t="str" cm="1">
        <f t="array" ref="M943">IF(patients[[#This Row],[length_of_stay]]&gt;patients!$N$2:$N$2,"Over average","Less than average")</f>
        <v>Over average</v>
      </c>
    </row>
    <row r="944" spans="2:13" x14ac:dyDescent="0.25">
      <c r="B944" s="1" t="s">
        <v>1889</v>
      </c>
      <c r="C944" s="1" t="s">
        <v>1890</v>
      </c>
      <c r="D944">
        <v>10</v>
      </c>
      <c r="E944" s="2">
        <v>45753</v>
      </c>
      <c r="F944" s="2">
        <v>45757</v>
      </c>
      <c r="G944" s="1" t="s">
        <v>14</v>
      </c>
      <c r="H944">
        <v>63</v>
      </c>
      <c r="I944" s="19">
        <f>patients[[#This Row],[departure_date]]-patients[[#This Row],[arrival_date]]</f>
        <v>4</v>
      </c>
      <c r="J944" t="str">
        <f>IF(patients[[#This Row],[age]] &lt; 18,"0-17",IF(patients[[#This Row],[age]] &lt; 40,"18-39",IF(patients[[#This Row],[age]] &lt; 65,"40-64","65+")))</f>
        <v>0-17</v>
      </c>
      <c r="K944" s="1" t="str">
        <f>TEXT(patients[[#This Row],[arrival_date]],"[$-409]mmmm")</f>
        <v>April</v>
      </c>
      <c r="L944" s="1">
        <f>MATCH(K944, {"January";"February";"March";"April";"May";"June";"July";"August";"September";"October";"November";"December"}, 0)</f>
        <v>4</v>
      </c>
      <c r="M944" s="1" t="str" cm="1">
        <f t="array" ref="M944">IF(patients[[#This Row],[length_of_stay]]&gt;patients!$N$2:$N$2,"Over average","Less than average")</f>
        <v>Less than average</v>
      </c>
    </row>
    <row r="945" spans="2:13" x14ac:dyDescent="0.25">
      <c r="B945" s="1" t="s">
        <v>1891</v>
      </c>
      <c r="C945" s="1" t="s">
        <v>1892</v>
      </c>
      <c r="D945">
        <v>80</v>
      </c>
      <c r="E945" s="2">
        <v>45871</v>
      </c>
      <c r="F945" s="2">
        <v>45879</v>
      </c>
      <c r="G945" s="1" t="s">
        <v>17</v>
      </c>
      <c r="H945">
        <v>65</v>
      </c>
      <c r="I945" s="19">
        <f>patients[[#This Row],[departure_date]]-patients[[#This Row],[arrival_date]]</f>
        <v>8</v>
      </c>
      <c r="J945" t="str">
        <f>IF(patients[[#This Row],[age]] &lt; 18,"0-17",IF(patients[[#This Row],[age]] &lt; 40,"18-39",IF(patients[[#This Row],[age]] &lt; 65,"40-64","65+")))</f>
        <v>65+</v>
      </c>
      <c r="K945" s="1" t="str">
        <f>TEXT(patients[[#This Row],[arrival_date]],"[$-409]mmmm")</f>
        <v>August</v>
      </c>
      <c r="L945" s="1">
        <f>MATCH(K945, {"January";"February";"March";"April";"May";"June";"July";"August";"September";"October";"November";"December"}, 0)</f>
        <v>8</v>
      </c>
      <c r="M945" s="1" t="str" cm="1">
        <f t="array" ref="M945">IF(patients[[#This Row],[length_of_stay]]&gt;patients!$N$2:$N$2,"Over average","Less than average")</f>
        <v>Over average</v>
      </c>
    </row>
    <row r="946" spans="2:13" x14ac:dyDescent="0.25">
      <c r="B946" s="1" t="s">
        <v>1893</v>
      </c>
      <c r="C946" s="1" t="s">
        <v>1894</v>
      </c>
      <c r="D946">
        <v>34</v>
      </c>
      <c r="E946" s="2">
        <v>45850</v>
      </c>
      <c r="F946" s="2">
        <v>45854</v>
      </c>
      <c r="G946" s="1" t="s">
        <v>9</v>
      </c>
      <c r="H946">
        <v>81</v>
      </c>
      <c r="I946" s="19">
        <f>patients[[#This Row],[departure_date]]-patients[[#This Row],[arrival_date]]</f>
        <v>4</v>
      </c>
      <c r="J946" t="str">
        <f>IF(patients[[#This Row],[age]] &lt; 18,"0-17",IF(patients[[#This Row],[age]] &lt; 40,"18-39",IF(patients[[#This Row],[age]] &lt; 65,"40-64","65+")))</f>
        <v>18-39</v>
      </c>
      <c r="K946" s="1" t="str">
        <f>TEXT(patients[[#This Row],[arrival_date]],"[$-409]mmmm")</f>
        <v>July</v>
      </c>
      <c r="L946" s="1">
        <f>MATCH(K946, {"January";"February";"March";"April";"May";"June";"July";"August";"September";"October";"November";"December"}, 0)</f>
        <v>7</v>
      </c>
      <c r="M946" s="1" t="str" cm="1">
        <f t="array" ref="M946">IF(patients[[#This Row],[length_of_stay]]&gt;patients!$N$2:$N$2,"Over average","Less than average")</f>
        <v>Less than average</v>
      </c>
    </row>
    <row r="947" spans="2:13" x14ac:dyDescent="0.25">
      <c r="B947" s="1" t="s">
        <v>1895</v>
      </c>
      <c r="C947" s="1" t="s">
        <v>1896</v>
      </c>
      <c r="D947">
        <v>10</v>
      </c>
      <c r="E947" s="2">
        <v>45908</v>
      </c>
      <c r="F947" s="2">
        <v>45918</v>
      </c>
      <c r="G947" s="1" t="s">
        <v>17</v>
      </c>
      <c r="H947">
        <v>62</v>
      </c>
      <c r="I947" s="19">
        <f>patients[[#This Row],[departure_date]]-patients[[#This Row],[arrival_date]]</f>
        <v>10</v>
      </c>
      <c r="J947" t="str">
        <f>IF(patients[[#This Row],[age]] &lt; 18,"0-17",IF(patients[[#This Row],[age]] &lt; 40,"18-39",IF(patients[[#This Row],[age]] &lt; 65,"40-64","65+")))</f>
        <v>0-17</v>
      </c>
      <c r="K947" s="1" t="str">
        <f>TEXT(patients[[#This Row],[arrival_date]],"[$-409]mmmm")</f>
        <v>September</v>
      </c>
      <c r="L947" s="1">
        <f>MATCH(K947, {"January";"February";"March";"April";"May";"June";"July";"August";"September";"October";"November";"December"}, 0)</f>
        <v>9</v>
      </c>
      <c r="M947" s="1" t="str" cm="1">
        <f t="array" ref="M947">IF(patients[[#This Row],[length_of_stay]]&gt;patients!$N$2:$N$2,"Over average","Less than average")</f>
        <v>Over average</v>
      </c>
    </row>
    <row r="948" spans="2:13" x14ac:dyDescent="0.25">
      <c r="B948" s="1" t="s">
        <v>1897</v>
      </c>
      <c r="C948" s="1" t="s">
        <v>1898</v>
      </c>
      <c r="D948">
        <v>8</v>
      </c>
      <c r="E948" s="2">
        <v>45733</v>
      </c>
      <c r="F948" s="2">
        <v>45740</v>
      </c>
      <c r="G948" s="1" t="s">
        <v>20</v>
      </c>
      <c r="H948">
        <v>73</v>
      </c>
      <c r="I948" s="19">
        <f>patients[[#This Row],[departure_date]]-patients[[#This Row],[arrival_date]]</f>
        <v>7</v>
      </c>
      <c r="J948" t="str">
        <f>IF(patients[[#This Row],[age]] &lt; 18,"0-17",IF(patients[[#This Row],[age]] &lt; 40,"18-39",IF(patients[[#This Row],[age]] &lt; 65,"40-64","65+")))</f>
        <v>0-17</v>
      </c>
      <c r="K948" s="1" t="str">
        <f>TEXT(patients[[#This Row],[arrival_date]],"[$-409]mmmm")</f>
        <v>March</v>
      </c>
      <c r="L948" s="1">
        <f>MATCH(K948, {"January";"February";"March";"April";"May";"June";"July";"August";"September";"October";"November";"December"}, 0)</f>
        <v>3</v>
      </c>
      <c r="M948" s="1" t="str" cm="1">
        <f t="array" ref="M948">IF(patients[[#This Row],[length_of_stay]]&gt;patients!$N$2:$N$2,"Over average","Less than average")</f>
        <v>Less than average</v>
      </c>
    </row>
    <row r="949" spans="2:13" x14ac:dyDescent="0.25">
      <c r="B949" s="1" t="s">
        <v>1899</v>
      </c>
      <c r="C949" s="1" t="s">
        <v>1900</v>
      </c>
      <c r="D949">
        <v>17</v>
      </c>
      <c r="E949" s="2">
        <v>45908</v>
      </c>
      <c r="F949" s="2">
        <v>45917</v>
      </c>
      <c r="G949" s="1" t="s">
        <v>17</v>
      </c>
      <c r="H949">
        <v>68</v>
      </c>
      <c r="I949" s="19">
        <f>patients[[#This Row],[departure_date]]-patients[[#This Row],[arrival_date]]</f>
        <v>9</v>
      </c>
      <c r="J949" t="str">
        <f>IF(patients[[#This Row],[age]] &lt; 18,"0-17",IF(patients[[#This Row],[age]] &lt; 40,"18-39",IF(patients[[#This Row],[age]] &lt; 65,"40-64","65+")))</f>
        <v>0-17</v>
      </c>
      <c r="K949" s="1" t="str">
        <f>TEXT(patients[[#This Row],[arrival_date]],"[$-409]mmmm")</f>
        <v>September</v>
      </c>
      <c r="L949" s="1">
        <f>MATCH(K949, {"January";"February";"March";"April";"May";"June";"July";"August";"September";"October";"November";"December"}, 0)</f>
        <v>9</v>
      </c>
      <c r="M949" s="1" t="str" cm="1">
        <f t="array" ref="M949">IF(patients[[#This Row],[length_of_stay]]&gt;patients!$N$2:$N$2,"Over average","Less than average")</f>
        <v>Over average</v>
      </c>
    </row>
    <row r="950" spans="2:13" x14ac:dyDescent="0.25">
      <c r="B950" s="1" t="s">
        <v>1901</v>
      </c>
      <c r="C950" s="1" t="s">
        <v>1902</v>
      </c>
      <c r="D950">
        <v>22</v>
      </c>
      <c r="E950" s="2">
        <v>45740</v>
      </c>
      <c r="F950" s="2">
        <v>45753</v>
      </c>
      <c r="G950" s="1" t="s">
        <v>9</v>
      </c>
      <c r="H950">
        <v>64</v>
      </c>
      <c r="I950" s="19">
        <f>patients[[#This Row],[departure_date]]-patients[[#This Row],[arrival_date]]</f>
        <v>13</v>
      </c>
      <c r="J950" t="str">
        <f>IF(patients[[#This Row],[age]] &lt; 18,"0-17",IF(patients[[#This Row],[age]] &lt; 40,"18-39",IF(patients[[#This Row],[age]] &lt; 65,"40-64","65+")))</f>
        <v>18-39</v>
      </c>
      <c r="K950" s="1" t="str">
        <f>TEXT(patients[[#This Row],[arrival_date]],"[$-409]mmmm")</f>
        <v>March</v>
      </c>
      <c r="L950" s="1">
        <f>MATCH(K950, {"January";"February";"March";"April";"May";"June";"July";"August";"September";"October";"November";"December"}, 0)</f>
        <v>3</v>
      </c>
      <c r="M950" s="1" t="str" cm="1">
        <f t="array" ref="M950">IF(patients[[#This Row],[length_of_stay]]&gt;patients!$N$2:$N$2,"Over average","Less than average")</f>
        <v>Over average</v>
      </c>
    </row>
    <row r="951" spans="2:13" x14ac:dyDescent="0.25">
      <c r="B951" s="1" t="s">
        <v>1903</v>
      </c>
      <c r="C951" s="1" t="s">
        <v>1904</v>
      </c>
      <c r="D951">
        <v>46</v>
      </c>
      <c r="E951" s="2">
        <v>45913</v>
      </c>
      <c r="F951" s="2">
        <v>45920</v>
      </c>
      <c r="G951" s="1" t="s">
        <v>20</v>
      </c>
      <c r="H951">
        <v>89</v>
      </c>
      <c r="I951" s="19">
        <f>patients[[#This Row],[departure_date]]-patients[[#This Row],[arrival_date]]</f>
        <v>7</v>
      </c>
      <c r="J951" t="str">
        <f>IF(patients[[#This Row],[age]] &lt; 18,"0-17",IF(patients[[#This Row],[age]] &lt; 40,"18-39",IF(patients[[#This Row],[age]] &lt; 65,"40-64","65+")))</f>
        <v>40-64</v>
      </c>
      <c r="K951" s="1" t="str">
        <f>TEXT(patients[[#This Row],[arrival_date]],"[$-409]mmmm")</f>
        <v>September</v>
      </c>
      <c r="L951" s="1">
        <f>MATCH(K951, {"January";"February";"March";"April";"May";"June";"July";"August";"September";"October";"November";"December"}, 0)</f>
        <v>9</v>
      </c>
      <c r="M951" s="1" t="str" cm="1">
        <f t="array" ref="M951">IF(patients[[#This Row],[length_of_stay]]&gt;patients!$N$2:$N$2,"Over average","Less than average")</f>
        <v>Less than average</v>
      </c>
    </row>
    <row r="952" spans="2:13" x14ac:dyDescent="0.25">
      <c r="B952" s="1" t="s">
        <v>1905</v>
      </c>
      <c r="C952" s="1" t="s">
        <v>1906</v>
      </c>
      <c r="D952">
        <v>24</v>
      </c>
      <c r="E952" s="2">
        <v>45894</v>
      </c>
      <c r="F952" s="2">
        <v>45902</v>
      </c>
      <c r="G952" s="1" t="s">
        <v>20</v>
      </c>
      <c r="H952">
        <v>84</v>
      </c>
      <c r="I952" s="19">
        <f>patients[[#This Row],[departure_date]]-patients[[#This Row],[arrival_date]]</f>
        <v>8</v>
      </c>
      <c r="J952" t="str">
        <f>IF(patients[[#This Row],[age]] &lt; 18,"0-17",IF(patients[[#This Row],[age]] &lt; 40,"18-39",IF(patients[[#This Row],[age]] &lt; 65,"40-64","65+")))</f>
        <v>18-39</v>
      </c>
      <c r="K952" s="1" t="str">
        <f>TEXT(patients[[#This Row],[arrival_date]],"[$-409]mmmm")</f>
        <v>August</v>
      </c>
      <c r="L952" s="1">
        <f>MATCH(K952, {"January";"February";"March";"April";"May";"June";"July";"August";"September";"October";"November";"December"}, 0)</f>
        <v>8</v>
      </c>
      <c r="M952" s="1" t="str" cm="1">
        <f t="array" ref="M952">IF(patients[[#This Row],[length_of_stay]]&gt;patients!$N$2:$N$2,"Over average","Less than average")</f>
        <v>Over average</v>
      </c>
    </row>
    <row r="953" spans="2:13" x14ac:dyDescent="0.25">
      <c r="B953" s="1" t="s">
        <v>1907</v>
      </c>
      <c r="C953" s="1" t="s">
        <v>1908</v>
      </c>
      <c r="D953">
        <v>73</v>
      </c>
      <c r="E953" s="2">
        <v>45971</v>
      </c>
      <c r="F953" s="2">
        <v>45985</v>
      </c>
      <c r="G953" s="1" t="s">
        <v>9</v>
      </c>
      <c r="H953">
        <v>84</v>
      </c>
      <c r="I953" s="19">
        <f>patients[[#This Row],[departure_date]]-patients[[#This Row],[arrival_date]]</f>
        <v>14</v>
      </c>
      <c r="J953" t="str">
        <f>IF(patients[[#This Row],[age]] &lt; 18,"0-17",IF(patients[[#This Row],[age]] &lt; 40,"18-39",IF(patients[[#This Row],[age]] &lt; 65,"40-64","65+")))</f>
        <v>65+</v>
      </c>
      <c r="K953" s="1" t="str">
        <f>TEXT(patients[[#This Row],[arrival_date]],"[$-409]mmmm")</f>
        <v>November</v>
      </c>
      <c r="L953" s="1">
        <f>MATCH(K953, {"January";"February";"March";"April";"May";"June";"July";"August";"September";"October";"November";"December"}, 0)</f>
        <v>11</v>
      </c>
      <c r="M953" s="1" t="str" cm="1">
        <f t="array" ref="M953">IF(patients[[#This Row],[length_of_stay]]&gt;patients!$N$2:$N$2,"Over average","Less than average")</f>
        <v>Over average</v>
      </c>
    </row>
    <row r="954" spans="2:13" x14ac:dyDescent="0.25">
      <c r="B954" s="1" t="s">
        <v>1909</v>
      </c>
      <c r="C954" s="1" t="s">
        <v>1910</v>
      </c>
      <c r="D954">
        <v>77</v>
      </c>
      <c r="E954" s="2">
        <v>45773</v>
      </c>
      <c r="F954" s="2">
        <v>45775</v>
      </c>
      <c r="G954" s="1" t="s">
        <v>14</v>
      </c>
      <c r="H954">
        <v>69</v>
      </c>
      <c r="I954" s="19">
        <f>patients[[#This Row],[departure_date]]-patients[[#This Row],[arrival_date]]</f>
        <v>2</v>
      </c>
      <c r="J954" t="str">
        <f>IF(patients[[#This Row],[age]] &lt; 18,"0-17",IF(patients[[#This Row],[age]] &lt; 40,"18-39",IF(patients[[#This Row],[age]] &lt; 65,"40-64","65+")))</f>
        <v>65+</v>
      </c>
      <c r="K954" s="1" t="str">
        <f>TEXT(patients[[#This Row],[arrival_date]],"[$-409]mmmm")</f>
        <v>April</v>
      </c>
      <c r="L954" s="1">
        <f>MATCH(K954, {"January";"February";"March";"April";"May";"June";"July";"August";"September";"October";"November";"December"}, 0)</f>
        <v>4</v>
      </c>
      <c r="M954" s="1" t="str" cm="1">
        <f t="array" ref="M954">IF(patients[[#This Row],[length_of_stay]]&gt;patients!$N$2:$N$2,"Over average","Less than average")</f>
        <v>Less than average</v>
      </c>
    </row>
    <row r="955" spans="2:13" x14ac:dyDescent="0.25">
      <c r="B955" s="1" t="s">
        <v>1911</v>
      </c>
      <c r="C955" s="1" t="s">
        <v>1912</v>
      </c>
      <c r="D955">
        <v>74</v>
      </c>
      <c r="E955" s="2">
        <v>45742</v>
      </c>
      <c r="F955" s="2">
        <v>45747</v>
      </c>
      <c r="G955" s="1" t="s">
        <v>14</v>
      </c>
      <c r="H955">
        <v>81</v>
      </c>
      <c r="I955" s="19">
        <f>patients[[#This Row],[departure_date]]-patients[[#This Row],[arrival_date]]</f>
        <v>5</v>
      </c>
      <c r="J955" t="str">
        <f>IF(patients[[#This Row],[age]] &lt; 18,"0-17",IF(patients[[#This Row],[age]] &lt; 40,"18-39",IF(patients[[#This Row],[age]] &lt; 65,"40-64","65+")))</f>
        <v>65+</v>
      </c>
      <c r="K955" s="1" t="str">
        <f>TEXT(patients[[#This Row],[arrival_date]],"[$-409]mmmm")</f>
        <v>March</v>
      </c>
      <c r="L955" s="1">
        <f>MATCH(K955, {"January";"February";"March";"April";"May";"June";"July";"August";"September";"October";"November";"December"}, 0)</f>
        <v>3</v>
      </c>
      <c r="M955" s="1" t="str" cm="1">
        <f t="array" ref="M955">IF(patients[[#This Row],[length_of_stay]]&gt;patients!$N$2:$N$2,"Over average","Less than average")</f>
        <v>Less than average</v>
      </c>
    </row>
    <row r="956" spans="2:13" x14ac:dyDescent="0.25">
      <c r="B956" s="1" t="s">
        <v>1913</v>
      </c>
      <c r="C956" s="1" t="s">
        <v>1914</v>
      </c>
      <c r="D956">
        <v>44</v>
      </c>
      <c r="E956" s="2">
        <v>45866</v>
      </c>
      <c r="F956" s="2">
        <v>45880</v>
      </c>
      <c r="G956" s="1" t="s">
        <v>14</v>
      </c>
      <c r="H956">
        <v>61</v>
      </c>
      <c r="I956" s="19">
        <f>patients[[#This Row],[departure_date]]-patients[[#This Row],[arrival_date]]</f>
        <v>14</v>
      </c>
      <c r="J956" t="str">
        <f>IF(patients[[#This Row],[age]] &lt; 18,"0-17",IF(patients[[#This Row],[age]] &lt; 40,"18-39",IF(patients[[#This Row],[age]] &lt; 65,"40-64","65+")))</f>
        <v>40-64</v>
      </c>
      <c r="K956" s="1" t="str">
        <f>TEXT(patients[[#This Row],[arrival_date]],"[$-409]mmmm")</f>
        <v>July</v>
      </c>
      <c r="L956" s="1">
        <f>MATCH(K956, {"January";"February";"March";"April";"May";"June";"July";"August";"September";"October";"November";"December"}, 0)</f>
        <v>7</v>
      </c>
      <c r="M956" s="1" t="str" cm="1">
        <f t="array" ref="M956">IF(patients[[#This Row],[length_of_stay]]&gt;patients!$N$2:$N$2,"Over average","Less than average")</f>
        <v>Over average</v>
      </c>
    </row>
    <row r="957" spans="2:13" x14ac:dyDescent="0.25">
      <c r="B957" s="1" t="s">
        <v>1915</v>
      </c>
      <c r="C957" s="1" t="s">
        <v>1916</v>
      </c>
      <c r="D957">
        <v>75</v>
      </c>
      <c r="E957" s="2">
        <v>45955</v>
      </c>
      <c r="F957" s="2">
        <v>45957</v>
      </c>
      <c r="G957" s="1" t="s">
        <v>17</v>
      </c>
      <c r="H957">
        <v>70</v>
      </c>
      <c r="I957" s="19">
        <f>patients[[#This Row],[departure_date]]-patients[[#This Row],[arrival_date]]</f>
        <v>2</v>
      </c>
      <c r="J957" t="str">
        <f>IF(patients[[#This Row],[age]] &lt; 18,"0-17",IF(patients[[#This Row],[age]] &lt; 40,"18-39",IF(patients[[#This Row],[age]] &lt; 65,"40-64","65+")))</f>
        <v>65+</v>
      </c>
      <c r="K957" s="1" t="str">
        <f>TEXT(patients[[#This Row],[arrival_date]],"[$-409]mmmm")</f>
        <v>October</v>
      </c>
      <c r="L957" s="1">
        <f>MATCH(K957, {"January";"February";"March";"April";"May";"June";"July";"August";"September";"October";"November";"December"}, 0)</f>
        <v>10</v>
      </c>
      <c r="M957" s="1" t="str" cm="1">
        <f t="array" ref="M957">IF(patients[[#This Row],[length_of_stay]]&gt;patients!$N$2:$N$2,"Over average","Less than average")</f>
        <v>Less than average</v>
      </c>
    </row>
    <row r="958" spans="2:13" x14ac:dyDescent="0.25">
      <c r="B958" s="1" t="s">
        <v>1917</v>
      </c>
      <c r="C958" s="1" t="s">
        <v>1918</v>
      </c>
      <c r="D958">
        <v>15</v>
      </c>
      <c r="E958" s="2">
        <v>45900</v>
      </c>
      <c r="F958" s="2">
        <v>45902</v>
      </c>
      <c r="G958" s="1" t="s">
        <v>17</v>
      </c>
      <c r="H958">
        <v>94</v>
      </c>
      <c r="I958" s="19">
        <f>patients[[#This Row],[departure_date]]-patients[[#This Row],[arrival_date]]</f>
        <v>2</v>
      </c>
      <c r="J958" t="str">
        <f>IF(patients[[#This Row],[age]] &lt; 18,"0-17",IF(patients[[#This Row],[age]] &lt; 40,"18-39",IF(patients[[#This Row],[age]] &lt; 65,"40-64","65+")))</f>
        <v>0-17</v>
      </c>
      <c r="K958" s="1" t="str">
        <f>TEXT(patients[[#This Row],[arrival_date]],"[$-409]mmmm")</f>
        <v>August</v>
      </c>
      <c r="L958" s="1">
        <f>MATCH(K958, {"January";"February";"March";"April";"May";"June";"July";"August";"September";"October";"November";"December"}, 0)</f>
        <v>8</v>
      </c>
      <c r="M958" s="1" t="str" cm="1">
        <f t="array" ref="M958">IF(patients[[#This Row],[length_of_stay]]&gt;patients!$N$2:$N$2,"Over average","Less than average")</f>
        <v>Less than average</v>
      </c>
    </row>
    <row r="959" spans="2:13" x14ac:dyDescent="0.25">
      <c r="B959" s="1" t="s">
        <v>1919</v>
      </c>
      <c r="C959" s="1" t="s">
        <v>1920</v>
      </c>
      <c r="D959">
        <v>58</v>
      </c>
      <c r="E959" s="2">
        <v>45801</v>
      </c>
      <c r="F959" s="2">
        <v>45807</v>
      </c>
      <c r="G959" s="1" t="s">
        <v>9</v>
      </c>
      <c r="H959">
        <v>71</v>
      </c>
      <c r="I959" s="19">
        <f>patients[[#This Row],[departure_date]]-patients[[#This Row],[arrival_date]]</f>
        <v>6</v>
      </c>
      <c r="J959" t="str">
        <f>IF(patients[[#This Row],[age]] &lt; 18,"0-17",IF(patients[[#This Row],[age]] &lt; 40,"18-39",IF(patients[[#This Row],[age]] &lt; 65,"40-64","65+")))</f>
        <v>40-64</v>
      </c>
      <c r="K959" s="1" t="str">
        <f>TEXT(patients[[#This Row],[arrival_date]],"[$-409]mmmm")</f>
        <v>May</v>
      </c>
      <c r="L959" s="1">
        <f>MATCH(K959, {"January";"February";"March";"April";"May";"June";"July";"August";"September";"October";"November";"December"}, 0)</f>
        <v>5</v>
      </c>
      <c r="M959" s="1" t="str" cm="1">
        <f t="array" ref="M959">IF(patients[[#This Row],[length_of_stay]]&gt;patients!$N$2:$N$2,"Over average","Less than average")</f>
        <v>Less than average</v>
      </c>
    </row>
    <row r="960" spans="2:13" x14ac:dyDescent="0.25">
      <c r="B960" s="1" t="s">
        <v>1921</v>
      </c>
      <c r="C960" s="1" t="s">
        <v>1922</v>
      </c>
      <c r="D960">
        <v>59</v>
      </c>
      <c r="E960" s="2">
        <v>45903</v>
      </c>
      <c r="F960" s="2">
        <v>45905</v>
      </c>
      <c r="G960" s="1" t="s">
        <v>17</v>
      </c>
      <c r="H960">
        <v>85</v>
      </c>
      <c r="I960" s="19">
        <f>patients[[#This Row],[departure_date]]-patients[[#This Row],[arrival_date]]</f>
        <v>2</v>
      </c>
      <c r="J960" t="str">
        <f>IF(patients[[#This Row],[age]] &lt; 18,"0-17",IF(patients[[#This Row],[age]] &lt; 40,"18-39",IF(patients[[#This Row],[age]] &lt; 65,"40-64","65+")))</f>
        <v>40-64</v>
      </c>
      <c r="K960" s="1" t="str">
        <f>TEXT(patients[[#This Row],[arrival_date]],"[$-409]mmmm")</f>
        <v>September</v>
      </c>
      <c r="L960" s="1">
        <f>MATCH(K960, {"January";"February";"March";"April";"May";"June";"July";"August";"September";"October";"November";"December"}, 0)</f>
        <v>9</v>
      </c>
      <c r="M960" s="1" t="str" cm="1">
        <f t="array" ref="M960">IF(patients[[#This Row],[length_of_stay]]&gt;patients!$N$2:$N$2,"Over average","Less than average")</f>
        <v>Less than average</v>
      </c>
    </row>
    <row r="961" spans="2:13" x14ac:dyDescent="0.25">
      <c r="B961" s="1" t="s">
        <v>1923</v>
      </c>
      <c r="C961" s="1" t="s">
        <v>1924</v>
      </c>
      <c r="D961">
        <v>58</v>
      </c>
      <c r="E961" s="2">
        <v>45940</v>
      </c>
      <c r="F961" s="2">
        <v>45948</v>
      </c>
      <c r="G961" s="1" t="s">
        <v>14</v>
      </c>
      <c r="H961">
        <v>66</v>
      </c>
      <c r="I961" s="19">
        <f>patients[[#This Row],[departure_date]]-patients[[#This Row],[arrival_date]]</f>
        <v>8</v>
      </c>
      <c r="J961" t="str">
        <f>IF(patients[[#This Row],[age]] &lt; 18,"0-17",IF(patients[[#This Row],[age]] &lt; 40,"18-39",IF(patients[[#This Row],[age]] &lt; 65,"40-64","65+")))</f>
        <v>40-64</v>
      </c>
      <c r="K961" s="1" t="str">
        <f>TEXT(patients[[#This Row],[arrival_date]],"[$-409]mmmm")</f>
        <v>October</v>
      </c>
      <c r="L961" s="1">
        <f>MATCH(K961, {"January";"February";"March";"April";"May";"June";"July";"August";"September";"October";"November";"December"}, 0)</f>
        <v>10</v>
      </c>
      <c r="M961" s="1" t="str" cm="1">
        <f t="array" ref="M961">IF(patients[[#This Row],[length_of_stay]]&gt;patients!$N$2:$N$2,"Over average","Less than average")</f>
        <v>Over average</v>
      </c>
    </row>
    <row r="962" spans="2:13" x14ac:dyDescent="0.25">
      <c r="B962" s="1" t="s">
        <v>1925</v>
      </c>
      <c r="C962" s="1" t="s">
        <v>1926</v>
      </c>
      <c r="D962">
        <v>62</v>
      </c>
      <c r="E962" s="2">
        <v>45720</v>
      </c>
      <c r="F962" s="2">
        <v>45728</v>
      </c>
      <c r="G962" s="1" t="s">
        <v>14</v>
      </c>
      <c r="H962">
        <v>71</v>
      </c>
      <c r="I962" s="19">
        <f>patients[[#This Row],[departure_date]]-patients[[#This Row],[arrival_date]]</f>
        <v>8</v>
      </c>
      <c r="J962" t="str">
        <f>IF(patients[[#This Row],[age]] &lt; 18,"0-17",IF(patients[[#This Row],[age]] &lt; 40,"18-39",IF(patients[[#This Row],[age]] &lt; 65,"40-64","65+")))</f>
        <v>40-64</v>
      </c>
      <c r="K962" s="1" t="str">
        <f>TEXT(patients[[#This Row],[arrival_date]],"[$-409]mmmm")</f>
        <v>March</v>
      </c>
      <c r="L962" s="1">
        <f>MATCH(K962, {"January";"February";"March";"April";"May";"June";"July";"August";"September";"October";"November";"December"}, 0)</f>
        <v>3</v>
      </c>
      <c r="M962" s="1" t="str" cm="1">
        <f t="array" ref="M962">IF(patients[[#This Row],[length_of_stay]]&gt;patients!$N$2:$N$2,"Over average","Less than average")</f>
        <v>Over average</v>
      </c>
    </row>
    <row r="963" spans="2:13" x14ac:dyDescent="0.25">
      <c r="B963" s="1" t="s">
        <v>1927</v>
      </c>
      <c r="C963" s="1" t="s">
        <v>1928</v>
      </c>
      <c r="D963">
        <v>12</v>
      </c>
      <c r="E963" s="2">
        <v>45700</v>
      </c>
      <c r="F963" s="2">
        <v>45701</v>
      </c>
      <c r="G963" s="1" t="s">
        <v>9</v>
      </c>
      <c r="H963">
        <v>76</v>
      </c>
      <c r="I963" s="19">
        <f>patients[[#This Row],[departure_date]]-patients[[#This Row],[arrival_date]]</f>
        <v>1</v>
      </c>
      <c r="J963" t="str">
        <f>IF(patients[[#This Row],[age]] &lt; 18,"0-17",IF(patients[[#This Row],[age]] &lt; 40,"18-39",IF(patients[[#This Row],[age]] &lt; 65,"40-64","65+")))</f>
        <v>0-17</v>
      </c>
      <c r="K963" s="1" t="str">
        <f>TEXT(patients[[#This Row],[arrival_date]],"[$-409]mmmm")</f>
        <v>February</v>
      </c>
      <c r="L963" s="1">
        <f>MATCH(K963, {"January";"February";"March";"April";"May";"June";"July";"August";"September";"October";"November";"December"}, 0)</f>
        <v>2</v>
      </c>
      <c r="M963" s="1" t="str" cm="1">
        <f t="array" ref="M963">IF(patients[[#This Row],[length_of_stay]]&gt;patients!$N$2:$N$2,"Over average","Less than average")</f>
        <v>Less than average</v>
      </c>
    </row>
    <row r="964" spans="2:13" x14ac:dyDescent="0.25">
      <c r="B964" s="1" t="s">
        <v>1929</v>
      </c>
      <c r="C964" s="1" t="s">
        <v>1930</v>
      </c>
      <c r="D964">
        <v>35</v>
      </c>
      <c r="E964" s="2">
        <v>45665</v>
      </c>
      <c r="F964" s="2">
        <v>45670</v>
      </c>
      <c r="G964" s="1" t="s">
        <v>17</v>
      </c>
      <c r="H964">
        <v>85</v>
      </c>
      <c r="I964" s="19">
        <f>patients[[#This Row],[departure_date]]-patients[[#This Row],[arrival_date]]</f>
        <v>5</v>
      </c>
      <c r="J964" t="str">
        <f>IF(patients[[#This Row],[age]] &lt; 18,"0-17",IF(patients[[#This Row],[age]] &lt; 40,"18-39",IF(patients[[#This Row],[age]] &lt; 65,"40-64","65+")))</f>
        <v>18-39</v>
      </c>
      <c r="K964" s="1" t="str">
        <f>TEXT(patients[[#This Row],[arrival_date]],"[$-409]mmmm")</f>
        <v>January</v>
      </c>
      <c r="L964" s="1">
        <f>MATCH(K964, {"January";"February";"March";"April";"May";"June";"July";"August";"September";"October";"November";"December"}, 0)</f>
        <v>1</v>
      </c>
      <c r="M964" s="1" t="str" cm="1">
        <f t="array" ref="M964">IF(patients[[#This Row],[length_of_stay]]&gt;patients!$N$2:$N$2,"Over average","Less than average")</f>
        <v>Less than average</v>
      </c>
    </row>
    <row r="965" spans="2:13" x14ac:dyDescent="0.25">
      <c r="B965" s="1" t="s">
        <v>1931</v>
      </c>
      <c r="C965" s="1" t="s">
        <v>1932</v>
      </c>
      <c r="D965">
        <v>79</v>
      </c>
      <c r="E965" s="2">
        <v>45941</v>
      </c>
      <c r="F965" s="2">
        <v>45947</v>
      </c>
      <c r="G965" s="1" t="s">
        <v>20</v>
      </c>
      <c r="H965">
        <v>88</v>
      </c>
      <c r="I965" s="19">
        <f>patients[[#This Row],[departure_date]]-patients[[#This Row],[arrival_date]]</f>
        <v>6</v>
      </c>
      <c r="J965" t="str">
        <f>IF(patients[[#This Row],[age]] &lt; 18,"0-17",IF(patients[[#This Row],[age]] &lt; 40,"18-39",IF(patients[[#This Row],[age]] &lt; 65,"40-64","65+")))</f>
        <v>65+</v>
      </c>
      <c r="K965" s="1" t="str">
        <f>TEXT(patients[[#This Row],[arrival_date]],"[$-409]mmmm")</f>
        <v>October</v>
      </c>
      <c r="L965" s="1">
        <f>MATCH(K965, {"January";"February";"March";"April";"May";"June";"July";"August";"September";"October";"November";"December"}, 0)</f>
        <v>10</v>
      </c>
      <c r="M965" s="1" t="str" cm="1">
        <f t="array" ref="M965">IF(patients[[#This Row],[length_of_stay]]&gt;patients!$N$2:$N$2,"Over average","Less than average")</f>
        <v>Less than average</v>
      </c>
    </row>
    <row r="966" spans="2:13" x14ac:dyDescent="0.25">
      <c r="B966" s="1" t="s">
        <v>1933</v>
      </c>
      <c r="C966" s="1" t="s">
        <v>1934</v>
      </c>
      <c r="D966">
        <v>46</v>
      </c>
      <c r="E966" s="2">
        <v>45758</v>
      </c>
      <c r="F966" s="2">
        <v>45772</v>
      </c>
      <c r="G966" s="1" t="s">
        <v>20</v>
      </c>
      <c r="H966">
        <v>82</v>
      </c>
      <c r="I966" s="19">
        <f>patients[[#This Row],[departure_date]]-patients[[#This Row],[arrival_date]]</f>
        <v>14</v>
      </c>
      <c r="J966" t="str">
        <f>IF(patients[[#This Row],[age]] &lt; 18,"0-17",IF(patients[[#This Row],[age]] &lt; 40,"18-39",IF(patients[[#This Row],[age]] &lt; 65,"40-64","65+")))</f>
        <v>40-64</v>
      </c>
      <c r="K966" s="1" t="str">
        <f>TEXT(patients[[#This Row],[arrival_date]],"[$-409]mmmm")</f>
        <v>April</v>
      </c>
      <c r="L966" s="1">
        <f>MATCH(K966, {"January";"February";"March";"April";"May";"June";"July";"August";"September";"October";"November";"December"}, 0)</f>
        <v>4</v>
      </c>
      <c r="M966" s="1" t="str" cm="1">
        <f t="array" ref="M966">IF(patients[[#This Row],[length_of_stay]]&gt;patients!$N$2:$N$2,"Over average","Less than average")</f>
        <v>Over average</v>
      </c>
    </row>
    <row r="967" spans="2:13" x14ac:dyDescent="0.25">
      <c r="B967" s="1" t="s">
        <v>1935</v>
      </c>
      <c r="C967" s="1" t="s">
        <v>1936</v>
      </c>
      <c r="D967">
        <v>15</v>
      </c>
      <c r="E967" s="2">
        <v>45728</v>
      </c>
      <c r="F967" s="2">
        <v>45741</v>
      </c>
      <c r="G967" s="1" t="s">
        <v>9</v>
      </c>
      <c r="H967">
        <v>96</v>
      </c>
      <c r="I967" s="19">
        <f>patients[[#This Row],[departure_date]]-patients[[#This Row],[arrival_date]]</f>
        <v>13</v>
      </c>
      <c r="J967" t="str">
        <f>IF(patients[[#This Row],[age]] &lt; 18,"0-17",IF(patients[[#This Row],[age]] &lt; 40,"18-39",IF(patients[[#This Row],[age]] &lt; 65,"40-64","65+")))</f>
        <v>0-17</v>
      </c>
      <c r="K967" s="1" t="str">
        <f>TEXT(patients[[#This Row],[arrival_date]],"[$-409]mmmm")</f>
        <v>March</v>
      </c>
      <c r="L967" s="1">
        <f>MATCH(K967, {"January";"February";"March";"April";"May";"June";"July";"August";"September";"October";"November";"December"}, 0)</f>
        <v>3</v>
      </c>
      <c r="M967" s="1" t="str" cm="1">
        <f t="array" ref="M967">IF(patients[[#This Row],[length_of_stay]]&gt;patients!$N$2:$N$2,"Over average","Less than average")</f>
        <v>Over average</v>
      </c>
    </row>
    <row r="968" spans="2:13" x14ac:dyDescent="0.25">
      <c r="B968" s="1" t="s">
        <v>1937</v>
      </c>
      <c r="C968" s="1" t="s">
        <v>1938</v>
      </c>
      <c r="D968">
        <v>28</v>
      </c>
      <c r="E968" s="2">
        <v>45885</v>
      </c>
      <c r="F968" s="2">
        <v>45899</v>
      </c>
      <c r="G968" s="1" t="s">
        <v>14</v>
      </c>
      <c r="H968">
        <v>78</v>
      </c>
      <c r="I968" s="19">
        <f>patients[[#This Row],[departure_date]]-patients[[#This Row],[arrival_date]]</f>
        <v>14</v>
      </c>
      <c r="J968" t="str">
        <f>IF(patients[[#This Row],[age]] &lt; 18,"0-17",IF(patients[[#This Row],[age]] &lt; 40,"18-39",IF(patients[[#This Row],[age]] &lt; 65,"40-64","65+")))</f>
        <v>18-39</v>
      </c>
      <c r="K968" s="1" t="str">
        <f>TEXT(patients[[#This Row],[arrival_date]],"[$-409]mmmm")</f>
        <v>August</v>
      </c>
      <c r="L968" s="1">
        <f>MATCH(K968, {"January";"February";"March";"April";"May";"June";"July";"August";"September";"October";"November";"December"}, 0)</f>
        <v>8</v>
      </c>
      <c r="M968" s="1" t="str" cm="1">
        <f t="array" ref="M968">IF(patients[[#This Row],[length_of_stay]]&gt;patients!$N$2:$N$2,"Over average","Less than average")</f>
        <v>Over average</v>
      </c>
    </row>
    <row r="969" spans="2:13" x14ac:dyDescent="0.25">
      <c r="B969" s="1" t="s">
        <v>1939</v>
      </c>
      <c r="C969" s="1" t="s">
        <v>1940</v>
      </c>
      <c r="D969">
        <v>76</v>
      </c>
      <c r="E969" s="2">
        <v>45678</v>
      </c>
      <c r="F969" s="2">
        <v>45683</v>
      </c>
      <c r="G969" s="1" t="s">
        <v>9</v>
      </c>
      <c r="H969">
        <v>86</v>
      </c>
      <c r="I969" s="19">
        <f>patients[[#This Row],[departure_date]]-patients[[#This Row],[arrival_date]]</f>
        <v>5</v>
      </c>
      <c r="J969" t="str">
        <f>IF(patients[[#This Row],[age]] &lt; 18,"0-17",IF(patients[[#This Row],[age]] &lt; 40,"18-39",IF(patients[[#This Row],[age]] &lt; 65,"40-64","65+")))</f>
        <v>65+</v>
      </c>
      <c r="K969" s="1" t="str">
        <f>TEXT(patients[[#This Row],[arrival_date]],"[$-409]mmmm")</f>
        <v>January</v>
      </c>
      <c r="L969" s="1">
        <f>MATCH(K969, {"January";"February";"March";"April";"May";"June";"July";"August";"September";"October";"November";"December"}, 0)</f>
        <v>1</v>
      </c>
      <c r="M969" s="1" t="str" cm="1">
        <f t="array" ref="M969">IF(patients[[#This Row],[length_of_stay]]&gt;patients!$N$2:$N$2,"Over average","Less than average")</f>
        <v>Less than average</v>
      </c>
    </row>
    <row r="970" spans="2:13" x14ac:dyDescent="0.25">
      <c r="B970" s="1" t="s">
        <v>1941</v>
      </c>
      <c r="C970" s="1" t="s">
        <v>1942</v>
      </c>
      <c r="D970">
        <v>54</v>
      </c>
      <c r="E970" s="2">
        <v>45942</v>
      </c>
      <c r="F970" s="2">
        <v>45946</v>
      </c>
      <c r="G970" s="1" t="s">
        <v>20</v>
      </c>
      <c r="H970">
        <v>84</v>
      </c>
      <c r="I970" s="19">
        <f>patients[[#This Row],[departure_date]]-patients[[#This Row],[arrival_date]]</f>
        <v>4</v>
      </c>
      <c r="J970" t="str">
        <f>IF(patients[[#This Row],[age]] &lt; 18,"0-17",IF(patients[[#This Row],[age]] &lt; 40,"18-39",IF(patients[[#This Row],[age]] &lt; 65,"40-64","65+")))</f>
        <v>40-64</v>
      </c>
      <c r="K970" s="1" t="str">
        <f>TEXT(patients[[#This Row],[arrival_date]],"[$-409]mmmm")</f>
        <v>October</v>
      </c>
      <c r="L970" s="1">
        <f>MATCH(K970, {"January";"February";"March";"April";"May";"June";"July";"August";"September";"October";"November";"December"}, 0)</f>
        <v>10</v>
      </c>
      <c r="M970" s="1" t="str" cm="1">
        <f t="array" ref="M970">IF(patients[[#This Row],[length_of_stay]]&gt;patients!$N$2:$N$2,"Over average","Less than average")</f>
        <v>Less than average</v>
      </c>
    </row>
    <row r="971" spans="2:13" x14ac:dyDescent="0.25">
      <c r="B971" s="1" t="s">
        <v>1943</v>
      </c>
      <c r="C971" s="1" t="s">
        <v>1944</v>
      </c>
      <c r="D971">
        <v>69</v>
      </c>
      <c r="E971" s="2">
        <v>45821</v>
      </c>
      <c r="F971" s="2">
        <v>45823</v>
      </c>
      <c r="G971" s="1" t="s">
        <v>14</v>
      </c>
      <c r="H971">
        <v>81</v>
      </c>
      <c r="I971" s="19">
        <f>patients[[#This Row],[departure_date]]-patients[[#This Row],[arrival_date]]</f>
        <v>2</v>
      </c>
      <c r="J971" t="str">
        <f>IF(patients[[#This Row],[age]] &lt; 18,"0-17",IF(patients[[#This Row],[age]] &lt; 40,"18-39",IF(patients[[#This Row],[age]] &lt; 65,"40-64","65+")))</f>
        <v>65+</v>
      </c>
      <c r="K971" s="1" t="str">
        <f>TEXT(patients[[#This Row],[arrival_date]],"[$-409]mmmm")</f>
        <v>June</v>
      </c>
      <c r="L971" s="1">
        <f>MATCH(K971, {"January";"February";"March";"April";"May";"June";"July";"August";"September";"October";"November";"December"}, 0)</f>
        <v>6</v>
      </c>
      <c r="M971" s="1" t="str" cm="1">
        <f t="array" ref="M971">IF(patients[[#This Row],[length_of_stay]]&gt;patients!$N$2:$N$2,"Over average","Less than average")</f>
        <v>Less than average</v>
      </c>
    </row>
    <row r="972" spans="2:13" x14ac:dyDescent="0.25">
      <c r="B972" s="1" t="s">
        <v>1945</v>
      </c>
      <c r="C972" s="1" t="s">
        <v>1946</v>
      </c>
      <c r="D972">
        <v>15</v>
      </c>
      <c r="E972" s="2">
        <v>46013</v>
      </c>
      <c r="F972" s="2">
        <v>46027</v>
      </c>
      <c r="G972" s="1" t="s">
        <v>9</v>
      </c>
      <c r="H972">
        <v>78</v>
      </c>
      <c r="I972" s="19">
        <f>patients[[#This Row],[departure_date]]-patients[[#This Row],[arrival_date]]</f>
        <v>14</v>
      </c>
      <c r="J972" t="str">
        <f>IF(patients[[#This Row],[age]] &lt; 18,"0-17",IF(patients[[#This Row],[age]] &lt; 40,"18-39",IF(patients[[#This Row],[age]] &lt; 65,"40-64","65+")))</f>
        <v>0-17</v>
      </c>
      <c r="K972" s="1" t="str">
        <f>TEXT(patients[[#This Row],[arrival_date]],"[$-409]mmmm")</f>
        <v>December</v>
      </c>
      <c r="L972" s="1">
        <f>MATCH(K972, {"January";"February";"March";"April";"May";"June";"July";"August";"September";"October";"November";"December"}, 0)</f>
        <v>12</v>
      </c>
      <c r="M972" s="1" t="str" cm="1">
        <f t="array" ref="M972">IF(patients[[#This Row],[length_of_stay]]&gt;patients!$N$2:$N$2,"Over average","Less than average")</f>
        <v>Over average</v>
      </c>
    </row>
    <row r="973" spans="2:13" x14ac:dyDescent="0.25">
      <c r="B973" s="1" t="s">
        <v>1947</v>
      </c>
      <c r="C973" s="1" t="s">
        <v>1948</v>
      </c>
      <c r="D973">
        <v>86</v>
      </c>
      <c r="E973" s="2">
        <v>45798</v>
      </c>
      <c r="F973" s="2">
        <v>45809</v>
      </c>
      <c r="G973" s="1" t="s">
        <v>9</v>
      </c>
      <c r="H973">
        <v>88</v>
      </c>
      <c r="I973" s="19">
        <f>patients[[#This Row],[departure_date]]-patients[[#This Row],[arrival_date]]</f>
        <v>11</v>
      </c>
      <c r="J973" t="str">
        <f>IF(patients[[#This Row],[age]] &lt; 18,"0-17",IF(patients[[#This Row],[age]] &lt; 40,"18-39",IF(patients[[#This Row],[age]] &lt; 65,"40-64","65+")))</f>
        <v>65+</v>
      </c>
      <c r="K973" s="1" t="str">
        <f>TEXT(patients[[#This Row],[arrival_date]],"[$-409]mmmm")</f>
        <v>May</v>
      </c>
      <c r="L973" s="1">
        <f>MATCH(K973, {"January";"February";"March";"April";"May";"June";"July";"August";"September";"October";"November";"December"}, 0)</f>
        <v>5</v>
      </c>
      <c r="M973" s="1" t="str" cm="1">
        <f t="array" ref="M973">IF(patients[[#This Row],[length_of_stay]]&gt;patients!$N$2:$N$2,"Over average","Less than average")</f>
        <v>Over average</v>
      </c>
    </row>
    <row r="974" spans="2:13" x14ac:dyDescent="0.25">
      <c r="B974" s="1" t="s">
        <v>1949</v>
      </c>
      <c r="C974" s="1" t="s">
        <v>1950</v>
      </c>
      <c r="D974">
        <v>21</v>
      </c>
      <c r="E974" s="2">
        <v>45986</v>
      </c>
      <c r="F974" s="2">
        <v>45993</v>
      </c>
      <c r="G974" s="1" t="s">
        <v>20</v>
      </c>
      <c r="H974">
        <v>78</v>
      </c>
      <c r="I974" s="19">
        <f>patients[[#This Row],[departure_date]]-patients[[#This Row],[arrival_date]]</f>
        <v>7</v>
      </c>
      <c r="J974" t="str">
        <f>IF(patients[[#This Row],[age]] &lt; 18,"0-17",IF(patients[[#This Row],[age]] &lt; 40,"18-39",IF(patients[[#This Row],[age]] &lt; 65,"40-64","65+")))</f>
        <v>18-39</v>
      </c>
      <c r="K974" s="1" t="str">
        <f>TEXT(patients[[#This Row],[arrival_date]],"[$-409]mmmm")</f>
        <v>November</v>
      </c>
      <c r="L974" s="1">
        <f>MATCH(K974, {"January";"February";"March";"April";"May";"June";"July";"August";"September";"October";"November";"December"}, 0)</f>
        <v>11</v>
      </c>
      <c r="M974" s="1" t="str" cm="1">
        <f t="array" ref="M974">IF(patients[[#This Row],[length_of_stay]]&gt;patients!$N$2:$N$2,"Over average","Less than average")</f>
        <v>Less than average</v>
      </c>
    </row>
    <row r="975" spans="2:13" x14ac:dyDescent="0.25">
      <c r="B975" s="1" t="s">
        <v>1951</v>
      </c>
      <c r="C975" s="1" t="s">
        <v>1952</v>
      </c>
      <c r="D975">
        <v>37</v>
      </c>
      <c r="E975" s="2">
        <v>45773</v>
      </c>
      <c r="F975" s="2">
        <v>45782</v>
      </c>
      <c r="G975" s="1" t="s">
        <v>9</v>
      </c>
      <c r="H975">
        <v>79</v>
      </c>
      <c r="I975" s="19">
        <f>patients[[#This Row],[departure_date]]-patients[[#This Row],[arrival_date]]</f>
        <v>9</v>
      </c>
      <c r="J975" t="str">
        <f>IF(patients[[#This Row],[age]] &lt; 18,"0-17",IF(patients[[#This Row],[age]] &lt; 40,"18-39",IF(patients[[#This Row],[age]] &lt; 65,"40-64","65+")))</f>
        <v>18-39</v>
      </c>
      <c r="K975" s="1" t="str">
        <f>TEXT(patients[[#This Row],[arrival_date]],"[$-409]mmmm")</f>
        <v>April</v>
      </c>
      <c r="L975" s="1">
        <f>MATCH(K975, {"January";"February";"March";"April";"May";"June";"July";"August";"September";"October";"November";"December"}, 0)</f>
        <v>4</v>
      </c>
      <c r="M975" s="1" t="str" cm="1">
        <f t="array" ref="M975">IF(patients[[#This Row],[length_of_stay]]&gt;patients!$N$2:$N$2,"Over average","Less than average")</f>
        <v>Over average</v>
      </c>
    </row>
    <row r="976" spans="2:13" x14ac:dyDescent="0.25">
      <c r="B976" s="1" t="s">
        <v>1953</v>
      </c>
      <c r="C976" s="1" t="s">
        <v>1954</v>
      </c>
      <c r="D976">
        <v>8</v>
      </c>
      <c r="E976" s="2">
        <v>45707</v>
      </c>
      <c r="F976" s="2">
        <v>45709</v>
      </c>
      <c r="G976" s="1" t="s">
        <v>20</v>
      </c>
      <c r="H976">
        <v>64</v>
      </c>
      <c r="I976" s="19">
        <f>patients[[#This Row],[departure_date]]-patients[[#This Row],[arrival_date]]</f>
        <v>2</v>
      </c>
      <c r="J976" t="str">
        <f>IF(patients[[#This Row],[age]] &lt; 18,"0-17",IF(patients[[#This Row],[age]] &lt; 40,"18-39",IF(patients[[#This Row],[age]] &lt; 65,"40-64","65+")))</f>
        <v>0-17</v>
      </c>
      <c r="K976" s="1" t="str">
        <f>TEXT(patients[[#This Row],[arrival_date]],"[$-409]mmmm")</f>
        <v>February</v>
      </c>
      <c r="L976" s="1">
        <f>MATCH(K976, {"January";"February";"March";"April";"May";"June";"July";"August";"September";"October";"November";"December"}, 0)</f>
        <v>2</v>
      </c>
      <c r="M976" s="1" t="str" cm="1">
        <f t="array" ref="M976">IF(patients[[#This Row],[length_of_stay]]&gt;patients!$N$2:$N$2,"Over average","Less than average")</f>
        <v>Less than average</v>
      </c>
    </row>
    <row r="977" spans="2:13" x14ac:dyDescent="0.25">
      <c r="B977" s="1" t="s">
        <v>1955</v>
      </c>
      <c r="C977" s="1" t="s">
        <v>1956</v>
      </c>
      <c r="D977">
        <v>19</v>
      </c>
      <c r="E977" s="2">
        <v>45783</v>
      </c>
      <c r="F977" s="2">
        <v>45794</v>
      </c>
      <c r="G977" s="1" t="s">
        <v>14</v>
      </c>
      <c r="H977">
        <v>96</v>
      </c>
      <c r="I977" s="19">
        <f>patients[[#This Row],[departure_date]]-patients[[#This Row],[arrival_date]]</f>
        <v>11</v>
      </c>
      <c r="J977" t="str">
        <f>IF(patients[[#This Row],[age]] &lt; 18,"0-17",IF(patients[[#This Row],[age]] &lt; 40,"18-39",IF(patients[[#This Row],[age]] &lt; 65,"40-64","65+")))</f>
        <v>18-39</v>
      </c>
      <c r="K977" s="1" t="str">
        <f>TEXT(patients[[#This Row],[arrival_date]],"[$-409]mmmm")</f>
        <v>May</v>
      </c>
      <c r="L977" s="1">
        <f>MATCH(K977, {"January";"February";"March";"April";"May";"June";"July";"August";"September";"October";"November";"December"}, 0)</f>
        <v>5</v>
      </c>
      <c r="M977" s="1" t="str" cm="1">
        <f t="array" ref="M977">IF(patients[[#This Row],[length_of_stay]]&gt;patients!$N$2:$N$2,"Over average","Less than average")</f>
        <v>Over average</v>
      </c>
    </row>
    <row r="978" spans="2:13" x14ac:dyDescent="0.25">
      <c r="B978" s="1" t="s">
        <v>1957</v>
      </c>
      <c r="C978" s="1" t="s">
        <v>1958</v>
      </c>
      <c r="D978">
        <v>21</v>
      </c>
      <c r="E978" s="2">
        <v>45981</v>
      </c>
      <c r="F978" s="2">
        <v>45994</v>
      </c>
      <c r="G978" s="1" t="s">
        <v>9</v>
      </c>
      <c r="H978">
        <v>93</v>
      </c>
      <c r="I978" s="19">
        <f>patients[[#This Row],[departure_date]]-patients[[#This Row],[arrival_date]]</f>
        <v>13</v>
      </c>
      <c r="J978" t="str">
        <f>IF(patients[[#This Row],[age]] &lt; 18,"0-17",IF(patients[[#This Row],[age]] &lt; 40,"18-39",IF(patients[[#This Row],[age]] &lt; 65,"40-64","65+")))</f>
        <v>18-39</v>
      </c>
      <c r="K978" s="1" t="str">
        <f>TEXT(patients[[#This Row],[arrival_date]],"[$-409]mmmm")</f>
        <v>November</v>
      </c>
      <c r="L978" s="1">
        <f>MATCH(K978, {"January";"February";"March";"April";"May";"June";"July";"August";"September";"October";"November";"December"}, 0)</f>
        <v>11</v>
      </c>
      <c r="M978" s="1" t="str" cm="1">
        <f t="array" ref="M978">IF(patients[[#This Row],[length_of_stay]]&gt;patients!$N$2:$N$2,"Over average","Less than average")</f>
        <v>Over average</v>
      </c>
    </row>
    <row r="979" spans="2:13" x14ac:dyDescent="0.25">
      <c r="B979" s="1" t="s">
        <v>1959</v>
      </c>
      <c r="C979" s="1" t="s">
        <v>1960</v>
      </c>
      <c r="D979">
        <v>76</v>
      </c>
      <c r="E979" s="2">
        <v>45794</v>
      </c>
      <c r="F979" s="2">
        <v>45804</v>
      </c>
      <c r="G979" s="1" t="s">
        <v>9</v>
      </c>
      <c r="H979">
        <v>90</v>
      </c>
      <c r="I979" s="19">
        <f>patients[[#This Row],[departure_date]]-patients[[#This Row],[arrival_date]]</f>
        <v>10</v>
      </c>
      <c r="J979" t="str">
        <f>IF(patients[[#This Row],[age]] &lt; 18,"0-17",IF(patients[[#This Row],[age]] &lt; 40,"18-39",IF(patients[[#This Row],[age]] &lt; 65,"40-64","65+")))</f>
        <v>65+</v>
      </c>
      <c r="K979" s="1" t="str">
        <f>TEXT(patients[[#This Row],[arrival_date]],"[$-409]mmmm")</f>
        <v>May</v>
      </c>
      <c r="L979" s="1">
        <f>MATCH(K979, {"January";"February";"March";"April";"May";"June";"July";"August";"September";"October";"November";"December"}, 0)</f>
        <v>5</v>
      </c>
      <c r="M979" s="1" t="str" cm="1">
        <f t="array" ref="M979">IF(patients[[#This Row],[length_of_stay]]&gt;patients!$N$2:$N$2,"Over average","Less than average")</f>
        <v>Over average</v>
      </c>
    </row>
    <row r="980" spans="2:13" x14ac:dyDescent="0.25">
      <c r="B980" s="1" t="s">
        <v>1961</v>
      </c>
      <c r="C980" s="1" t="s">
        <v>1962</v>
      </c>
      <c r="D980">
        <v>6</v>
      </c>
      <c r="E980" s="2">
        <v>45804</v>
      </c>
      <c r="F980" s="2">
        <v>45814</v>
      </c>
      <c r="G980" s="1" t="s">
        <v>20</v>
      </c>
      <c r="H980">
        <v>89</v>
      </c>
      <c r="I980" s="19">
        <f>patients[[#This Row],[departure_date]]-patients[[#This Row],[arrival_date]]</f>
        <v>10</v>
      </c>
      <c r="J980" t="str">
        <f>IF(patients[[#This Row],[age]] &lt; 18,"0-17",IF(patients[[#This Row],[age]] &lt; 40,"18-39",IF(patients[[#This Row],[age]] &lt; 65,"40-64","65+")))</f>
        <v>0-17</v>
      </c>
      <c r="K980" s="1" t="str">
        <f>TEXT(patients[[#This Row],[arrival_date]],"[$-409]mmmm")</f>
        <v>May</v>
      </c>
      <c r="L980" s="1">
        <f>MATCH(K980, {"January";"February";"March";"April";"May";"June";"July";"August";"September";"October";"November";"December"}, 0)</f>
        <v>5</v>
      </c>
      <c r="M980" s="1" t="str" cm="1">
        <f t="array" ref="M980">IF(patients[[#This Row],[length_of_stay]]&gt;patients!$N$2:$N$2,"Over average","Less than average")</f>
        <v>Over average</v>
      </c>
    </row>
    <row r="981" spans="2:13" x14ac:dyDescent="0.25">
      <c r="B981" s="1" t="s">
        <v>1963</v>
      </c>
      <c r="C981" s="1" t="s">
        <v>1964</v>
      </c>
      <c r="D981">
        <v>30</v>
      </c>
      <c r="E981" s="2">
        <v>45820</v>
      </c>
      <c r="F981" s="2">
        <v>45829</v>
      </c>
      <c r="G981" s="1" t="s">
        <v>20</v>
      </c>
      <c r="H981">
        <v>80</v>
      </c>
      <c r="I981" s="19">
        <f>patients[[#This Row],[departure_date]]-patients[[#This Row],[arrival_date]]</f>
        <v>9</v>
      </c>
      <c r="J981" t="str">
        <f>IF(patients[[#This Row],[age]] &lt; 18,"0-17",IF(patients[[#This Row],[age]] &lt; 40,"18-39",IF(patients[[#This Row],[age]] &lt; 65,"40-64","65+")))</f>
        <v>18-39</v>
      </c>
      <c r="K981" s="1" t="str">
        <f>TEXT(patients[[#This Row],[arrival_date]],"[$-409]mmmm")</f>
        <v>June</v>
      </c>
      <c r="L981" s="1">
        <f>MATCH(K981, {"January";"February";"March";"April";"May";"June";"July";"August";"September";"October";"November";"December"}, 0)</f>
        <v>6</v>
      </c>
      <c r="M981" s="1" t="str" cm="1">
        <f t="array" ref="M981">IF(patients[[#This Row],[length_of_stay]]&gt;patients!$N$2:$N$2,"Over average","Less than average")</f>
        <v>Over average</v>
      </c>
    </row>
    <row r="982" spans="2:13" x14ac:dyDescent="0.25">
      <c r="B982" s="1" t="s">
        <v>1965</v>
      </c>
      <c r="C982" s="1" t="s">
        <v>1966</v>
      </c>
      <c r="D982">
        <v>60</v>
      </c>
      <c r="E982" s="2">
        <v>45996</v>
      </c>
      <c r="F982" s="2">
        <v>46001</v>
      </c>
      <c r="G982" s="1" t="s">
        <v>14</v>
      </c>
      <c r="H982">
        <v>91</v>
      </c>
      <c r="I982" s="19">
        <f>patients[[#This Row],[departure_date]]-patients[[#This Row],[arrival_date]]</f>
        <v>5</v>
      </c>
      <c r="J982" t="str">
        <f>IF(patients[[#This Row],[age]] &lt; 18,"0-17",IF(patients[[#This Row],[age]] &lt; 40,"18-39",IF(patients[[#This Row],[age]] &lt; 65,"40-64","65+")))</f>
        <v>40-64</v>
      </c>
      <c r="K982" s="1" t="str">
        <f>TEXT(patients[[#This Row],[arrival_date]],"[$-409]mmmm")</f>
        <v>December</v>
      </c>
      <c r="L982" s="1">
        <f>MATCH(K982, {"January";"February";"March";"April";"May";"June";"July";"August";"September";"October";"November";"December"}, 0)</f>
        <v>12</v>
      </c>
      <c r="M982" s="1" t="str" cm="1">
        <f t="array" ref="M982">IF(patients[[#This Row],[length_of_stay]]&gt;patients!$N$2:$N$2,"Over average","Less than average")</f>
        <v>Less than average</v>
      </c>
    </row>
    <row r="983" spans="2:13" x14ac:dyDescent="0.25">
      <c r="B983" s="1" t="s">
        <v>1967</v>
      </c>
      <c r="C983" s="1" t="s">
        <v>1968</v>
      </c>
      <c r="D983">
        <v>65</v>
      </c>
      <c r="E983" s="2">
        <v>45795</v>
      </c>
      <c r="F983" s="2">
        <v>45797</v>
      </c>
      <c r="G983" s="1" t="s">
        <v>14</v>
      </c>
      <c r="H983">
        <v>61</v>
      </c>
      <c r="I983" s="19">
        <f>patients[[#This Row],[departure_date]]-patients[[#This Row],[arrival_date]]</f>
        <v>2</v>
      </c>
      <c r="J983" t="str">
        <f>IF(patients[[#This Row],[age]] &lt; 18,"0-17",IF(patients[[#This Row],[age]] &lt; 40,"18-39",IF(patients[[#This Row],[age]] &lt; 65,"40-64","65+")))</f>
        <v>65+</v>
      </c>
      <c r="K983" s="1" t="str">
        <f>TEXT(patients[[#This Row],[arrival_date]],"[$-409]mmmm")</f>
        <v>May</v>
      </c>
      <c r="L983" s="1">
        <f>MATCH(K983, {"January";"February";"March";"April";"May";"June";"July";"August";"September";"October";"November";"December"}, 0)</f>
        <v>5</v>
      </c>
      <c r="M983" s="1" t="str" cm="1">
        <f t="array" ref="M983">IF(patients[[#This Row],[length_of_stay]]&gt;patients!$N$2:$N$2,"Over average","Less than average")</f>
        <v>Less than average</v>
      </c>
    </row>
    <row r="984" spans="2:13" x14ac:dyDescent="0.25">
      <c r="B984" s="1" t="s">
        <v>1969</v>
      </c>
      <c r="C984" s="1" t="s">
        <v>1970</v>
      </c>
      <c r="D984">
        <v>59</v>
      </c>
      <c r="E984" s="2">
        <v>45930</v>
      </c>
      <c r="F984" s="2">
        <v>45944</v>
      </c>
      <c r="G984" s="1" t="s">
        <v>20</v>
      </c>
      <c r="H984">
        <v>98</v>
      </c>
      <c r="I984" s="19">
        <f>patients[[#This Row],[departure_date]]-patients[[#This Row],[arrival_date]]</f>
        <v>14</v>
      </c>
      <c r="J984" t="str">
        <f>IF(patients[[#This Row],[age]] &lt; 18,"0-17",IF(patients[[#This Row],[age]] &lt; 40,"18-39",IF(patients[[#This Row],[age]] &lt; 65,"40-64","65+")))</f>
        <v>40-64</v>
      </c>
      <c r="K984" s="1" t="str">
        <f>TEXT(patients[[#This Row],[arrival_date]],"[$-409]mmmm")</f>
        <v>September</v>
      </c>
      <c r="L984" s="1">
        <f>MATCH(K984, {"January";"February";"March";"April";"May";"June";"July";"August";"September";"October";"November";"December"}, 0)</f>
        <v>9</v>
      </c>
      <c r="M984" s="1" t="str" cm="1">
        <f t="array" ref="M984">IF(patients[[#This Row],[length_of_stay]]&gt;patients!$N$2:$N$2,"Over average","Less than average")</f>
        <v>Over average</v>
      </c>
    </row>
    <row r="985" spans="2:13" x14ac:dyDescent="0.25">
      <c r="B985" s="1" t="s">
        <v>1971</v>
      </c>
      <c r="C985" s="1" t="s">
        <v>1972</v>
      </c>
      <c r="D985">
        <v>30</v>
      </c>
      <c r="E985" s="2">
        <v>45745</v>
      </c>
      <c r="F985" s="2">
        <v>45746</v>
      </c>
      <c r="G985" s="1" t="s">
        <v>14</v>
      </c>
      <c r="H985">
        <v>70</v>
      </c>
      <c r="I985" s="19">
        <f>patients[[#This Row],[departure_date]]-patients[[#This Row],[arrival_date]]</f>
        <v>1</v>
      </c>
      <c r="J985" t="str">
        <f>IF(patients[[#This Row],[age]] &lt; 18,"0-17",IF(patients[[#This Row],[age]] &lt; 40,"18-39",IF(patients[[#This Row],[age]] &lt; 65,"40-64","65+")))</f>
        <v>18-39</v>
      </c>
      <c r="K985" s="1" t="str">
        <f>TEXT(patients[[#This Row],[arrival_date]],"[$-409]mmmm")</f>
        <v>March</v>
      </c>
      <c r="L985" s="1">
        <f>MATCH(K985, {"January";"February";"March";"April";"May";"June";"July";"August";"September";"October";"November";"December"}, 0)</f>
        <v>3</v>
      </c>
      <c r="M985" s="1" t="str" cm="1">
        <f t="array" ref="M985">IF(patients[[#This Row],[length_of_stay]]&gt;patients!$N$2:$N$2,"Over average","Less than average")</f>
        <v>Less than average</v>
      </c>
    </row>
    <row r="986" spans="2:13" x14ac:dyDescent="0.25">
      <c r="B986" s="1" t="s">
        <v>1973</v>
      </c>
      <c r="C986" s="1" t="s">
        <v>825</v>
      </c>
      <c r="D986">
        <v>84</v>
      </c>
      <c r="E986" s="2">
        <v>45984</v>
      </c>
      <c r="F986" s="2">
        <v>45994</v>
      </c>
      <c r="G986" s="1" t="s">
        <v>20</v>
      </c>
      <c r="H986">
        <v>71</v>
      </c>
      <c r="I986" s="19">
        <f>patients[[#This Row],[departure_date]]-patients[[#This Row],[arrival_date]]</f>
        <v>10</v>
      </c>
      <c r="J986" t="str">
        <f>IF(patients[[#This Row],[age]] &lt; 18,"0-17",IF(patients[[#This Row],[age]] &lt; 40,"18-39",IF(patients[[#This Row],[age]] &lt; 65,"40-64","65+")))</f>
        <v>65+</v>
      </c>
      <c r="K986" s="1" t="str">
        <f>TEXT(patients[[#This Row],[arrival_date]],"[$-409]mmmm")</f>
        <v>November</v>
      </c>
      <c r="L986" s="1">
        <f>MATCH(K986, {"January";"February";"March";"April";"May";"June";"July";"August";"September";"October";"November";"December"}, 0)</f>
        <v>11</v>
      </c>
      <c r="M986" s="1" t="str" cm="1">
        <f t="array" ref="M986">IF(patients[[#This Row],[length_of_stay]]&gt;patients!$N$2:$N$2,"Over average","Less than average")</f>
        <v>Over average</v>
      </c>
    </row>
    <row r="987" spans="2:13" x14ac:dyDescent="0.25">
      <c r="B987" s="1" t="s">
        <v>1974</v>
      </c>
      <c r="C987" s="1" t="s">
        <v>1975</v>
      </c>
      <c r="D987">
        <v>80</v>
      </c>
      <c r="E987" s="2">
        <v>46005</v>
      </c>
      <c r="F987" s="2">
        <v>46006</v>
      </c>
      <c r="G987" s="1" t="s">
        <v>17</v>
      </c>
      <c r="H987">
        <v>87</v>
      </c>
      <c r="I987" s="19">
        <f>patients[[#This Row],[departure_date]]-patients[[#This Row],[arrival_date]]</f>
        <v>1</v>
      </c>
      <c r="J987" t="str">
        <f>IF(patients[[#This Row],[age]] &lt; 18,"0-17",IF(patients[[#This Row],[age]] &lt; 40,"18-39",IF(patients[[#This Row],[age]] &lt; 65,"40-64","65+")))</f>
        <v>65+</v>
      </c>
      <c r="K987" s="1" t="str">
        <f>TEXT(patients[[#This Row],[arrival_date]],"[$-409]mmmm")</f>
        <v>December</v>
      </c>
      <c r="L987" s="1">
        <f>MATCH(K987, {"January";"February";"March";"April";"May";"June";"July";"August";"September";"October";"November";"December"}, 0)</f>
        <v>12</v>
      </c>
      <c r="M987" s="1" t="str" cm="1">
        <f t="array" ref="M987">IF(patients[[#This Row],[length_of_stay]]&gt;patients!$N$2:$N$2,"Over average","Less than average")</f>
        <v>Less than average</v>
      </c>
    </row>
    <row r="988" spans="2:13" x14ac:dyDescent="0.25">
      <c r="B988" s="1" t="s">
        <v>1976</v>
      </c>
      <c r="C988" s="1" t="s">
        <v>1977</v>
      </c>
      <c r="D988">
        <v>52</v>
      </c>
      <c r="E988" s="2">
        <v>45856</v>
      </c>
      <c r="F988" s="2">
        <v>45858</v>
      </c>
      <c r="G988" s="1" t="s">
        <v>9</v>
      </c>
      <c r="H988">
        <v>83</v>
      </c>
      <c r="I988" s="19">
        <f>patients[[#This Row],[departure_date]]-patients[[#This Row],[arrival_date]]</f>
        <v>2</v>
      </c>
      <c r="J988" t="str">
        <f>IF(patients[[#This Row],[age]] &lt; 18,"0-17",IF(patients[[#This Row],[age]] &lt; 40,"18-39",IF(patients[[#This Row],[age]] &lt; 65,"40-64","65+")))</f>
        <v>40-64</v>
      </c>
      <c r="K988" s="1" t="str">
        <f>TEXT(patients[[#This Row],[arrival_date]],"[$-409]mmmm")</f>
        <v>July</v>
      </c>
      <c r="L988" s="1">
        <f>MATCH(K988, {"January";"February";"March";"April";"May";"June";"July";"August";"September";"October";"November";"December"}, 0)</f>
        <v>7</v>
      </c>
      <c r="M988" s="1" t="str" cm="1">
        <f t="array" ref="M988">IF(patients[[#This Row],[length_of_stay]]&gt;patients!$N$2:$N$2,"Over average","Less than average")</f>
        <v>Less than average</v>
      </c>
    </row>
    <row r="989" spans="2:13" x14ac:dyDescent="0.25">
      <c r="B989" s="1" t="s">
        <v>1978</v>
      </c>
      <c r="C989" s="1" t="s">
        <v>1979</v>
      </c>
      <c r="D989">
        <v>3</v>
      </c>
      <c r="E989" s="2">
        <v>45676</v>
      </c>
      <c r="F989" s="2">
        <v>45686</v>
      </c>
      <c r="G989" s="1" t="s">
        <v>20</v>
      </c>
      <c r="H989">
        <v>70</v>
      </c>
      <c r="I989" s="19">
        <f>patients[[#This Row],[departure_date]]-patients[[#This Row],[arrival_date]]</f>
        <v>10</v>
      </c>
      <c r="J989" t="str">
        <f>IF(patients[[#This Row],[age]] &lt; 18,"0-17",IF(patients[[#This Row],[age]] &lt; 40,"18-39",IF(patients[[#This Row],[age]] &lt; 65,"40-64","65+")))</f>
        <v>0-17</v>
      </c>
      <c r="K989" s="1" t="str">
        <f>TEXT(patients[[#This Row],[arrival_date]],"[$-409]mmmm")</f>
        <v>January</v>
      </c>
      <c r="L989" s="1">
        <f>MATCH(K989, {"January";"February";"March";"April";"May";"June";"July";"August";"September";"October";"November";"December"}, 0)</f>
        <v>1</v>
      </c>
      <c r="M989" s="1" t="str" cm="1">
        <f t="array" ref="M989">IF(patients[[#This Row],[length_of_stay]]&gt;patients!$N$2:$N$2,"Over average","Less than average")</f>
        <v>Over average</v>
      </c>
    </row>
    <row r="990" spans="2:13" x14ac:dyDescent="0.25">
      <c r="B990" s="1" t="s">
        <v>1980</v>
      </c>
      <c r="C990" s="1" t="s">
        <v>1981</v>
      </c>
      <c r="D990">
        <v>39</v>
      </c>
      <c r="E990" s="2">
        <v>45828</v>
      </c>
      <c r="F990" s="2">
        <v>45839</v>
      </c>
      <c r="G990" s="1" t="s">
        <v>9</v>
      </c>
      <c r="H990">
        <v>62</v>
      </c>
      <c r="I990" s="19">
        <f>patients[[#This Row],[departure_date]]-patients[[#This Row],[arrival_date]]</f>
        <v>11</v>
      </c>
      <c r="J990" t="str">
        <f>IF(patients[[#This Row],[age]] &lt; 18,"0-17",IF(patients[[#This Row],[age]] &lt; 40,"18-39",IF(patients[[#This Row],[age]] &lt; 65,"40-64","65+")))</f>
        <v>18-39</v>
      </c>
      <c r="K990" s="1" t="str">
        <f>TEXT(patients[[#This Row],[arrival_date]],"[$-409]mmmm")</f>
        <v>June</v>
      </c>
      <c r="L990" s="1">
        <f>MATCH(K990, {"January";"February";"March";"April";"May";"June";"July";"August";"September";"October";"November";"December"}, 0)</f>
        <v>6</v>
      </c>
      <c r="M990" s="1" t="str" cm="1">
        <f t="array" ref="M990">IF(patients[[#This Row],[length_of_stay]]&gt;patients!$N$2:$N$2,"Over average","Less than average")</f>
        <v>Over average</v>
      </c>
    </row>
    <row r="991" spans="2:13" x14ac:dyDescent="0.25">
      <c r="B991" s="1" t="s">
        <v>1982</v>
      </c>
      <c r="C991" s="1" t="s">
        <v>1983</v>
      </c>
      <c r="D991">
        <v>11</v>
      </c>
      <c r="E991" s="2">
        <v>45940</v>
      </c>
      <c r="F991" s="2">
        <v>45941</v>
      </c>
      <c r="G991" s="1" t="s">
        <v>14</v>
      </c>
      <c r="H991">
        <v>61</v>
      </c>
      <c r="I991" s="19">
        <f>patients[[#This Row],[departure_date]]-patients[[#This Row],[arrival_date]]</f>
        <v>1</v>
      </c>
      <c r="J991" t="str">
        <f>IF(patients[[#This Row],[age]] &lt; 18,"0-17",IF(patients[[#This Row],[age]] &lt; 40,"18-39",IF(patients[[#This Row],[age]] &lt; 65,"40-64","65+")))</f>
        <v>0-17</v>
      </c>
      <c r="K991" s="1" t="str">
        <f>TEXT(patients[[#This Row],[arrival_date]],"[$-409]mmmm")</f>
        <v>October</v>
      </c>
      <c r="L991" s="1">
        <f>MATCH(K991, {"January";"February";"March";"April";"May";"June";"July";"August";"September";"October";"November";"December"}, 0)</f>
        <v>10</v>
      </c>
      <c r="M991" s="1" t="str" cm="1">
        <f t="array" ref="M991">IF(patients[[#This Row],[length_of_stay]]&gt;patients!$N$2:$N$2,"Over average","Less than average")</f>
        <v>Less than average</v>
      </c>
    </row>
    <row r="992" spans="2:13" x14ac:dyDescent="0.25">
      <c r="B992" s="1" t="s">
        <v>1984</v>
      </c>
      <c r="C992" s="1" t="s">
        <v>1985</v>
      </c>
      <c r="D992">
        <v>48</v>
      </c>
      <c r="E992" s="2">
        <v>45973</v>
      </c>
      <c r="F992" s="2">
        <v>45979</v>
      </c>
      <c r="G992" s="1" t="s">
        <v>20</v>
      </c>
      <c r="H992">
        <v>89</v>
      </c>
      <c r="I992" s="19">
        <f>patients[[#This Row],[departure_date]]-patients[[#This Row],[arrival_date]]</f>
        <v>6</v>
      </c>
      <c r="J992" t="str">
        <f>IF(patients[[#This Row],[age]] &lt; 18,"0-17",IF(patients[[#This Row],[age]] &lt; 40,"18-39",IF(patients[[#This Row],[age]] &lt; 65,"40-64","65+")))</f>
        <v>40-64</v>
      </c>
      <c r="K992" s="1" t="str">
        <f>TEXT(patients[[#This Row],[arrival_date]],"[$-409]mmmm")</f>
        <v>November</v>
      </c>
      <c r="L992" s="1">
        <f>MATCH(K992, {"January";"February";"March";"April";"May";"June";"July";"August";"September";"October";"November";"December"}, 0)</f>
        <v>11</v>
      </c>
      <c r="M992" s="1" t="str" cm="1">
        <f t="array" ref="M992">IF(patients[[#This Row],[length_of_stay]]&gt;patients!$N$2:$N$2,"Over average","Less than average")</f>
        <v>Less than average</v>
      </c>
    </row>
    <row r="993" spans="2:13" x14ac:dyDescent="0.25">
      <c r="B993" s="1" t="s">
        <v>1986</v>
      </c>
      <c r="C993" s="1" t="s">
        <v>1987</v>
      </c>
      <c r="D993">
        <v>83</v>
      </c>
      <c r="E993" s="2">
        <v>45941</v>
      </c>
      <c r="F993" s="2">
        <v>45950</v>
      </c>
      <c r="G993" s="1" t="s">
        <v>9</v>
      </c>
      <c r="H993">
        <v>91</v>
      </c>
      <c r="I993" s="19">
        <f>patients[[#This Row],[departure_date]]-patients[[#This Row],[arrival_date]]</f>
        <v>9</v>
      </c>
      <c r="J993" t="str">
        <f>IF(patients[[#This Row],[age]] &lt; 18,"0-17",IF(patients[[#This Row],[age]] &lt; 40,"18-39",IF(patients[[#This Row],[age]] &lt; 65,"40-64","65+")))</f>
        <v>65+</v>
      </c>
      <c r="K993" s="1" t="str">
        <f>TEXT(patients[[#This Row],[arrival_date]],"[$-409]mmmm")</f>
        <v>October</v>
      </c>
      <c r="L993" s="1">
        <f>MATCH(K993, {"January";"February";"March";"April";"May";"June";"July";"August";"September";"October";"November";"December"}, 0)</f>
        <v>10</v>
      </c>
      <c r="M993" s="1" t="str" cm="1">
        <f t="array" ref="M993">IF(patients[[#This Row],[length_of_stay]]&gt;patients!$N$2:$N$2,"Over average","Less than average")</f>
        <v>Over average</v>
      </c>
    </row>
    <row r="994" spans="2:13" x14ac:dyDescent="0.25">
      <c r="B994" s="1" t="s">
        <v>1988</v>
      </c>
      <c r="C994" s="1" t="s">
        <v>1989</v>
      </c>
      <c r="D994">
        <v>9</v>
      </c>
      <c r="E994" s="2">
        <v>45955</v>
      </c>
      <c r="F994" s="2">
        <v>45963</v>
      </c>
      <c r="G994" s="1" t="s">
        <v>20</v>
      </c>
      <c r="H994">
        <v>92</v>
      </c>
      <c r="I994" s="19">
        <f>patients[[#This Row],[departure_date]]-patients[[#This Row],[arrival_date]]</f>
        <v>8</v>
      </c>
      <c r="J994" t="str">
        <f>IF(patients[[#This Row],[age]] &lt; 18,"0-17",IF(patients[[#This Row],[age]] &lt; 40,"18-39",IF(patients[[#This Row],[age]] &lt; 65,"40-64","65+")))</f>
        <v>0-17</v>
      </c>
      <c r="K994" s="1" t="str">
        <f>TEXT(patients[[#This Row],[arrival_date]],"[$-409]mmmm")</f>
        <v>October</v>
      </c>
      <c r="L994" s="1">
        <f>MATCH(K994, {"January";"February";"March";"April";"May";"June";"July";"August";"September";"October";"November";"December"}, 0)</f>
        <v>10</v>
      </c>
      <c r="M994" s="1" t="str" cm="1">
        <f t="array" ref="M994">IF(patients[[#This Row],[length_of_stay]]&gt;patients!$N$2:$N$2,"Over average","Less than average")</f>
        <v>Over average</v>
      </c>
    </row>
    <row r="995" spans="2:13" x14ac:dyDescent="0.25">
      <c r="B995" s="1" t="s">
        <v>1990</v>
      </c>
      <c r="C995" s="1" t="s">
        <v>1991</v>
      </c>
      <c r="D995">
        <v>76</v>
      </c>
      <c r="E995" s="2">
        <v>46018</v>
      </c>
      <c r="F995" s="2">
        <v>46024</v>
      </c>
      <c r="G995" s="1" t="s">
        <v>20</v>
      </c>
      <c r="H995">
        <v>96</v>
      </c>
      <c r="I995" s="19">
        <f>patients[[#This Row],[departure_date]]-patients[[#This Row],[arrival_date]]</f>
        <v>6</v>
      </c>
      <c r="J995" t="str">
        <f>IF(patients[[#This Row],[age]] &lt; 18,"0-17",IF(patients[[#This Row],[age]] &lt; 40,"18-39",IF(patients[[#This Row],[age]] &lt; 65,"40-64","65+")))</f>
        <v>65+</v>
      </c>
      <c r="K995" s="1" t="str">
        <f>TEXT(patients[[#This Row],[arrival_date]],"[$-409]mmmm")</f>
        <v>December</v>
      </c>
      <c r="L995" s="1">
        <f>MATCH(K995, {"January";"February";"March";"April";"May";"June";"July";"August";"September";"October";"November";"December"}, 0)</f>
        <v>12</v>
      </c>
      <c r="M995" s="1" t="str" cm="1">
        <f t="array" ref="M995">IF(patients[[#This Row],[length_of_stay]]&gt;patients!$N$2:$N$2,"Over average","Less than average")</f>
        <v>Less than average</v>
      </c>
    </row>
    <row r="996" spans="2:13" x14ac:dyDescent="0.25">
      <c r="B996" s="1" t="s">
        <v>1992</v>
      </c>
      <c r="C996" s="1" t="s">
        <v>1993</v>
      </c>
      <c r="D996">
        <v>79</v>
      </c>
      <c r="E996" s="2">
        <v>45679</v>
      </c>
      <c r="F996" s="2">
        <v>45688</v>
      </c>
      <c r="G996" s="1" t="s">
        <v>17</v>
      </c>
      <c r="H996">
        <v>79</v>
      </c>
      <c r="I996" s="19">
        <f>patients[[#This Row],[departure_date]]-patients[[#This Row],[arrival_date]]</f>
        <v>9</v>
      </c>
      <c r="J996" t="str">
        <f>IF(patients[[#This Row],[age]] &lt; 18,"0-17",IF(patients[[#This Row],[age]] &lt; 40,"18-39",IF(patients[[#This Row],[age]] &lt; 65,"40-64","65+")))</f>
        <v>65+</v>
      </c>
      <c r="K996" s="1" t="str">
        <f>TEXT(patients[[#This Row],[arrival_date]],"[$-409]mmmm")</f>
        <v>January</v>
      </c>
      <c r="L996" s="1">
        <f>MATCH(K996, {"January";"February";"March";"April";"May";"June";"July";"August";"September";"October";"November";"December"}, 0)</f>
        <v>1</v>
      </c>
      <c r="M996" s="1" t="str" cm="1">
        <f t="array" ref="M996">IF(patients[[#This Row],[length_of_stay]]&gt;patients!$N$2:$N$2,"Over average","Less than average")</f>
        <v>Over average</v>
      </c>
    </row>
    <row r="997" spans="2:13" x14ac:dyDescent="0.25">
      <c r="B997" s="1" t="s">
        <v>1994</v>
      </c>
      <c r="C997" s="1" t="s">
        <v>1995</v>
      </c>
      <c r="D997">
        <v>26</v>
      </c>
      <c r="E997" s="2">
        <v>45993</v>
      </c>
      <c r="F997" s="2">
        <v>45995</v>
      </c>
      <c r="G997" s="1" t="s">
        <v>17</v>
      </c>
      <c r="H997">
        <v>91</v>
      </c>
      <c r="I997" s="19">
        <f>patients[[#This Row],[departure_date]]-patients[[#This Row],[arrival_date]]</f>
        <v>2</v>
      </c>
      <c r="J997" t="str">
        <f>IF(patients[[#This Row],[age]] &lt; 18,"0-17",IF(patients[[#This Row],[age]] &lt; 40,"18-39",IF(patients[[#This Row],[age]] &lt; 65,"40-64","65+")))</f>
        <v>18-39</v>
      </c>
      <c r="K997" s="1" t="str">
        <f>TEXT(patients[[#This Row],[arrival_date]],"[$-409]mmmm")</f>
        <v>December</v>
      </c>
      <c r="L997" s="1">
        <f>MATCH(K997, {"January";"February";"March";"April";"May";"June";"July";"August";"September";"October";"November";"December"}, 0)</f>
        <v>12</v>
      </c>
      <c r="M997" s="1" t="str" cm="1">
        <f t="array" ref="M997">IF(patients[[#This Row],[length_of_stay]]&gt;patients!$N$2:$N$2,"Over average","Less than average")</f>
        <v>Less than average</v>
      </c>
    </row>
    <row r="998" spans="2:13" x14ac:dyDescent="0.25">
      <c r="B998" s="1" t="s">
        <v>1996</v>
      </c>
      <c r="C998" s="1" t="s">
        <v>1997</v>
      </c>
      <c r="D998">
        <v>89</v>
      </c>
      <c r="E998" s="2">
        <v>45979</v>
      </c>
      <c r="F998" s="2">
        <v>45991</v>
      </c>
      <c r="G998" s="1" t="s">
        <v>17</v>
      </c>
      <c r="H998">
        <v>99</v>
      </c>
      <c r="I998" s="19">
        <f>patients[[#This Row],[departure_date]]-patients[[#This Row],[arrival_date]]</f>
        <v>12</v>
      </c>
      <c r="J998" t="str">
        <f>IF(patients[[#This Row],[age]] &lt; 18,"0-17",IF(patients[[#This Row],[age]] &lt; 40,"18-39",IF(patients[[#This Row],[age]] &lt; 65,"40-64","65+")))</f>
        <v>65+</v>
      </c>
      <c r="K998" s="1" t="str">
        <f>TEXT(patients[[#This Row],[arrival_date]],"[$-409]mmmm")</f>
        <v>November</v>
      </c>
      <c r="L998" s="1">
        <f>MATCH(K998, {"January";"February";"March";"April";"May";"June";"July";"August";"September";"October";"November";"December"}, 0)</f>
        <v>11</v>
      </c>
      <c r="M998" s="1" t="str" cm="1">
        <f t="array" ref="M998">IF(patients[[#This Row],[length_of_stay]]&gt;patients!$N$2:$N$2,"Over average","Less than average")</f>
        <v>Over average</v>
      </c>
    </row>
    <row r="999" spans="2:13" x14ac:dyDescent="0.25">
      <c r="B999" s="1" t="s">
        <v>1998</v>
      </c>
      <c r="C999" s="1" t="s">
        <v>1999</v>
      </c>
      <c r="D999">
        <v>72</v>
      </c>
      <c r="E999" s="2">
        <v>46003</v>
      </c>
      <c r="F999" s="2">
        <v>46012</v>
      </c>
      <c r="G999" s="1" t="s">
        <v>20</v>
      </c>
      <c r="H999">
        <v>69</v>
      </c>
      <c r="I999" s="19">
        <f>patients[[#This Row],[departure_date]]-patients[[#This Row],[arrival_date]]</f>
        <v>9</v>
      </c>
      <c r="J999" t="str">
        <f>IF(patients[[#This Row],[age]] &lt; 18,"0-17",IF(patients[[#This Row],[age]] &lt; 40,"18-39",IF(patients[[#This Row],[age]] &lt; 65,"40-64","65+")))</f>
        <v>65+</v>
      </c>
      <c r="K999" s="1" t="str">
        <f>TEXT(patients[[#This Row],[arrival_date]],"[$-409]mmmm")</f>
        <v>December</v>
      </c>
      <c r="L999" s="1">
        <f>MATCH(K999, {"January";"February";"March";"April";"May";"June";"July";"August";"September";"October";"November";"December"}, 0)</f>
        <v>12</v>
      </c>
      <c r="M999" s="1" t="str" cm="1">
        <f t="array" ref="M999">IF(patients[[#This Row],[length_of_stay]]&gt;patients!$N$2:$N$2,"Over average","Less than average")</f>
        <v>Over average</v>
      </c>
    </row>
    <row r="1000" spans="2:13" x14ac:dyDescent="0.25">
      <c r="B1000" s="1" t="s">
        <v>2000</v>
      </c>
      <c r="C1000" s="1" t="s">
        <v>2001</v>
      </c>
      <c r="D1000">
        <v>47</v>
      </c>
      <c r="E1000" s="2">
        <v>45696</v>
      </c>
      <c r="F1000" s="2">
        <v>45708</v>
      </c>
      <c r="G1000" s="1" t="s">
        <v>20</v>
      </c>
      <c r="H1000">
        <v>61</v>
      </c>
      <c r="I1000" s="19">
        <f>patients[[#This Row],[departure_date]]-patients[[#This Row],[arrival_date]]</f>
        <v>12</v>
      </c>
      <c r="J1000" t="str">
        <f>IF(patients[[#This Row],[age]] &lt; 18,"0-17",IF(patients[[#This Row],[age]] &lt; 40,"18-39",IF(patients[[#This Row],[age]] &lt; 65,"40-64","65+")))</f>
        <v>40-64</v>
      </c>
      <c r="K1000" s="1" t="str">
        <f>TEXT(patients[[#This Row],[arrival_date]],"[$-409]mmmm")</f>
        <v>February</v>
      </c>
      <c r="L1000" s="1">
        <f>MATCH(K1000, {"January";"February";"March";"April";"May";"June";"July";"August";"September";"October";"November";"December"}, 0)</f>
        <v>2</v>
      </c>
      <c r="M1000" s="1" t="str" cm="1">
        <f t="array" ref="M1000">IF(patients[[#This Row],[length_of_stay]]&gt;patients!$N$2:$N$2,"Over average","Less than average")</f>
        <v>Over average</v>
      </c>
    </row>
    <row r="1001" spans="2:13" x14ac:dyDescent="0.25">
      <c r="B1001" s="1" t="s">
        <v>2002</v>
      </c>
      <c r="C1001" s="1" t="s">
        <v>2003</v>
      </c>
      <c r="D1001">
        <v>64</v>
      </c>
      <c r="E1001" s="2">
        <v>45781</v>
      </c>
      <c r="F1001" s="2">
        <v>45785</v>
      </c>
      <c r="G1001" s="1" t="s">
        <v>14</v>
      </c>
      <c r="H1001">
        <v>83</v>
      </c>
      <c r="I1001" s="19">
        <f>patients[[#This Row],[departure_date]]-patients[[#This Row],[arrival_date]]</f>
        <v>4</v>
      </c>
      <c r="J1001" t="str">
        <f>IF(patients[[#This Row],[age]] &lt; 18,"0-17",IF(patients[[#This Row],[age]] &lt; 40,"18-39",IF(patients[[#This Row],[age]] &lt; 65,"40-64","65+")))</f>
        <v>40-64</v>
      </c>
      <c r="K1001" s="1" t="str">
        <f>TEXT(patients[[#This Row],[arrival_date]],"[$-409]mmmm")</f>
        <v>May</v>
      </c>
      <c r="L1001" s="1">
        <f>MATCH(K1001, {"January";"February";"March";"April";"May";"June";"July";"August";"September";"October";"November";"December"}, 0)</f>
        <v>5</v>
      </c>
      <c r="M1001" s="1" t="str" cm="1">
        <f t="array" ref="M1001">IF(patients[[#This Row],[length_of_stay]]&gt;patients!$N$2:$N$2,"Over average","Less than average")</f>
        <v>Less than average</v>
      </c>
    </row>
  </sheetData>
  <phoneticPr fontId="4" type="noConversion"/>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3FDE8-1FA2-41B9-AB5F-5CCA91CC563F}">
  <dimension ref="A3:MQ362"/>
  <sheetViews>
    <sheetView workbookViewId="0">
      <selection activeCell="P25" sqref="P25"/>
    </sheetView>
  </sheetViews>
  <sheetFormatPr defaultColWidth="19.28515625" defaultRowHeight="15" customHeight="1" x14ac:dyDescent="0.25"/>
  <cols>
    <col min="1" max="1" width="24.5703125" style="10" customWidth="1"/>
    <col min="2" max="2" width="16.7109375" style="8" bestFit="1" customWidth="1"/>
    <col min="3" max="3" width="18.5703125" style="8" bestFit="1" customWidth="1"/>
    <col min="4" max="4" width="13.42578125" style="8" bestFit="1" customWidth="1"/>
    <col min="5" max="5" width="29.140625" style="8" bestFit="1" customWidth="1"/>
    <col min="6" max="6" width="4.28515625" style="8" bestFit="1" customWidth="1"/>
    <col min="7" max="7" width="7.7109375" style="8" bestFit="1" customWidth="1"/>
    <col min="8" max="8" width="11.28515625" style="8" bestFit="1" customWidth="1"/>
    <col min="9" max="9" width="16.140625" style="8" bestFit="1" customWidth="1"/>
    <col min="10" max="10" width="16.7109375" style="8" bestFit="1" customWidth="1"/>
    <col min="11" max="11" width="13.42578125" style="8" bestFit="1" customWidth="1"/>
    <col min="12" max="12" width="21.85546875" style="8" bestFit="1" customWidth="1"/>
    <col min="13" max="18" width="9.140625" style="8" bestFit="1" customWidth="1"/>
    <col min="19" max="40" width="10.140625" style="8" bestFit="1" customWidth="1"/>
    <col min="41" max="48" width="9.140625" style="8" bestFit="1" customWidth="1"/>
    <col min="49" max="65" width="10.140625" style="8" bestFit="1" customWidth="1"/>
    <col min="66" max="74" width="9.140625" style="8" bestFit="1" customWidth="1"/>
    <col min="75" max="96" width="10.140625" style="8" bestFit="1" customWidth="1"/>
    <col min="97" max="105" width="9.140625" style="8" bestFit="1" customWidth="1"/>
    <col min="106" max="124" width="10.140625" style="8" bestFit="1" customWidth="1"/>
    <col min="125" max="132" width="9.140625" style="8" bestFit="1" customWidth="1"/>
    <col min="133" max="154" width="10.140625" style="8" bestFit="1" customWidth="1"/>
    <col min="155" max="163" width="9.140625" style="8" bestFit="1" customWidth="1"/>
    <col min="164" max="182" width="10.140625" style="8" bestFit="1" customWidth="1"/>
    <col min="183" max="191" width="9.140625" style="8" bestFit="1" customWidth="1"/>
    <col min="192" max="211" width="10.140625" style="8" bestFit="1" customWidth="1"/>
    <col min="212" max="220" width="9.140625" style="8" bestFit="1" customWidth="1"/>
    <col min="221" max="239" width="10.140625" style="8" bestFit="1" customWidth="1"/>
    <col min="240" max="248" width="9.140625" style="8" bestFit="1" customWidth="1"/>
    <col min="249" max="269" width="10.140625" style="8" bestFit="1" customWidth="1"/>
    <col min="270" max="277" width="9.140625" style="8" bestFit="1" customWidth="1"/>
    <col min="278" max="298" width="10.140625" style="8" bestFit="1" customWidth="1"/>
    <col min="299" max="306" width="9.140625" style="8" bestFit="1" customWidth="1"/>
    <col min="307" max="325" width="10.140625" style="8" bestFit="1" customWidth="1"/>
    <col min="326" max="333" width="9.140625" style="8" bestFit="1" customWidth="1"/>
    <col min="334" max="354" width="10.140625" style="8" bestFit="1" customWidth="1"/>
    <col min="355" max="355" width="11.28515625" style="8" bestFit="1" customWidth="1"/>
    <col min="356" max="16384" width="19.28515625" style="8"/>
  </cols>
  <sheetData>
    <row r="3" spans="2:355" ht="15" customHeight="1" x14ac:dyDescent="0.55000000000000004">
      <c r="D3" s="3" t="s">
        <v>2253</v>
      </c>
      <c r="E3" t="s">
        <v>2255</v>
      </c>
      <c r="F3"/>
      <c r="G3"/>
      <c r="H3" s="16">
        <f>AVERAGE(patients[length_of_stay])</f>
        <v>7.407</v>
      </c>
      <c r="I3" s="17">
        <f>ROWS(patients[patient_id]) / COUNTIFS(staff[[#All],[role]],"doctor")</f>
        <v>55.555555555555557</v>
      </c>
    </row>
    <row r="4" spans="2:355" ht="15" customHeight="1" x14ac:dyDescent="0.25">
      <c r="D4" s="4" t="s">
        <v>17</v>
      </c>
      <c r="E4" s="1">
        <v>263</v>
      </c>
      <c r="F4"/>
      <c r="G4"/>
    </row>
    <row r="5" spans="2:355" ht="15" customHeight="1" x14ac:dyDescent="0.25">
      <c r="D5" s="4" t="s">
        <v>14</v>
      </c>
      <c r="E5" s="1">
        <v>242</v>
      </c>
      <c r="F5"/>
      <c r="G5"/>
    </row>
    <row r="6" spans="2:355" ht="15" customHeight="1" x14ac:dyDescent="0.25">
      <c r="D6" s="4" t="s">
        <v>20</v>
      </c>
      <c r="E6" s="1">
        <v>241</v>
      </c>
      <c r="F6"/>
      <c r="G6"/>
      <c r="J6" s="3" t="s">
        <v>2253</v>
      </c>
      <c r="K6" t="s">
        <v>2255</v>
      </c>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row>
    <row r="7" spans="2:355" ht="15" customHeight="1" x14ac:dyDescent="0.25">
      <c r="D7" s="4" t="s">
        <v>9</v>
      </c>
      <c r="E7" s="1">
        <v>254</v>
      </c>
      <c r="J7" s="4">
        <v>1</v>
      </c>
      <c r="K7" s="1">
        <v>85</v>
      </c>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row>
    <row r="8" spans="2:355" ht="15" customHeight="1" x14ac:dyDescent="0.25">
      <c r="D8" s="4" t="s">
        <v>2254</v>
      </c>
      <c r="E8" s="1">
        <v>1000</v>
      </c>
      <c r="J8" s="4">
        <v>2</v>
      </c>
      <c r="K8" s="1">
        <v>80</v>
      </c>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row>
    <row r="9" spans="2:355" ht="15" customHeight="1" x14ac:dyDescent="0.25">
      <c r="B9"/>
      <c r="C9"/>
      <c r="D9"/>
      <c r="E9"/>
      <c r="I9"/>
      <c r="J9" s="4">
        <v>3</v>
      </c>
      <c r="K9" s="1">
        <v>75</v>
      </c>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row>
    <row r="10" spans="2:355" ht="15" customHeight="1" x14ac:dyDescent="0.25">
      <c r="B10"/>
      <c r="C10"/>
      <c r="D10"/>
      <c r="I10"/>
      <c r="J10" s="4">
        <v>4</v>
      </c>
      <c r="K10" s="1">
        <v>81</v>
      </c>
      <c r="L10"/>
      <c r="M10"/>
      <c r="N10"/>
      <c r="O10"/>
      <c r="P10"/>
      <c r="Q10"/>
      <c r="R10"/>
      <c r="S10"/>
      <c r="T10"/>
      <c r="U10"/>
      <c r="V10"/>
      <c r="W10"/>
      <c r="X10"/>
      <c r="Y10"/>
      <c r="Z10"/>
    </row>
    <row r="11" spans="2:355" ht="15" customHeight="1" x14ac:dyDescent="0.25">
      <c r="B11"/>
      <c r="C11"/>
      <c r="D11"/>
      <c r="I11"/>
      <c r="J11" s="4">
        <v>5</v>
      </c>
      <c r="K11" s="1">
        <v>85</v>
      </c>
      <c r="L11"/>
      <c r="M11"/>
      <c r="N11"/>
      <c r="S11"/>
      <c r="T11"/>
      <c r="U11"/>
      <c r="V11"/>
      <c r="W11"/>
      <c r="X11"/>
      <c r="Y11"/>
      <c r="Z11"/>
    </row>
    <row r="12" spans="2:355" ht="15" customHeight="1" x14ac:dyDescent="0.25">
      <c r="B12"/>
      <c r="C12"/>
      <c r="D12"/>
      <c r="I12"/>
      <c r="J12" s="4">
        <v>6</v>
      </c>
      <c r="K12" s="1">
        <v>81</v>
      </c>
      <c r="L12"/>
      <c r="N12">
        <f xml:space="preserve"> 1000/110</f>
        <v>9.0909090909090917</v>
      </c>
      <c r="S12"/>
      <c r="T12" s="5"/>
      <c r="U12"/>
      <c r="V12"/>
      <c r="W12"/>
      <c r="X12" s="5"/>
      <c r="Y12"/>
      <c r="Z12"/>
    </row>
    <row r="13" spans="2:355" ht="15" customHeight="1" x14ac:dyDescent="0.25">
      <c r="B13"/>
      <c r="C13"/>
      <c r="D13"/>
      <c r="I13"/>
      <c r="J13" s="4">
        <v>7</v>
      </c>
      <c r="K13" s="1">
        <v>82</v>
      </c>
      <c r="L13"/>
      <c r="N13"/>
      <c r="S13"/>
      <c r="T13"/>
      <c r="U13"/>
      <c r="V13"/>
      <c r="W13"/>
      <c r="X13"/>
      <c r="Y13"/>
      <c r="Z13"/>
    </row>
    <row r="14" spans="2:355" ht="15" customHeight="1" x14ac:dyDescent="0.25">
      <c r="B14"/>
      <c r="C14"/>
      <c r="D14"/>
      <c r="I14"/>
      <c r="J14" s="4">
        <v>8</v>
      </c>
      <c r="K14" s="1">
        <v>88</v>
      </c>
      <c r="L14"/>
      <c r="N14"/>
      <c r="S14"/>
      <c r="T14"/>
      <c r="U14"/>
      <c r="V14"/>
      <c r="W14"/>
      <c r="X14"/>
      <c r="Y14"/>
      <c r="Z14"/>
    </row>
    <row r="15" spans="2:355" ht="15" customHeight="1" x14ac:dyDescent="0.25">
      <c r="B15"/>
      <c r="C15" s="3" t="s">
        <v>2255</v>
      </c>
      <c r="D15" s="3" t="s">
        <v>2251</v>
      </c>
      <c r="E15"/>
      <c r="F15"/>
      <c r="G15"/>
      <c r="H15"/>
      <c r="I15"/>
      <c r="J15" s="4">
        <v>9</v>
      </c>
      <c r="K15" s="1">
        <v>94</v>
      </c>
      <c r="L15"/>
      <c r="N15"/>
      <c r="S15"/>
      <c r="T15"/>
      <c r="U15"/>
      <c r="V15"/>
      <c r="W15"/>
      <c r="X15"/>
      <c r="Y15"/>
      <c r="Z15"/>
    </row>
    <row r="16" spans="2:355" ht="15" customHeight="1" x14ac:dyDescent="0.25">
      <c r="B16"/>
      <c r="C16" s="3" t="s">
        <v>2253</v>
      </c>
      <c r="D16" t="s">
        <v>17</v>
      </c>
      <c r="E16" t="s">
        <v>14</v>
      </c>
      <c r="F16" t="s">
        <v>20</v>
      </c>
      <c r="G16" t="s">
        <v>9</v>
      </c>
      <c r="H16" t="s">
        <v>2254</v>
      </c>
      <c r="I16"/>
      <c r="J16" s="4">
        <v>10</v>
      </c>
      <c r="K16" s="1">
        <v>92</v>
      </c>
      <c r="L16"/>
      <c r="N16"/>
      <c r="O16"/>
      <c r="P16"/>
      <c r="Q16"/>
      <c r="R16"/>
      <c r="S16"/>
      <c r="T16"/>
      <c r="U16"/>
      <c r="V16"/>
      <c r="W16"/>
      <c r="X16"/>
      <c r="Y16"/>
      <c r="Z16"/>
    </row>
    <row r="17" spans="2:26" ht="15" customHeight="1" x14ac:dyDescent="0.25">
      <c r="B17"/>
      <c r="C17" s="4" t="s">
        <v>2245</v>
      </c>
      <c r="D17" s="1">
        <v>53</v>
      </c>
      <c r="E17" s="1">
        <v>39</v>
      </c>
      <c r="F17" s="1">
        <v>37</v>
      </c>
      <c r="G17" s="1">
        <v>56</v>
      </c>
      <c r="H17" s="1">
        <v>185</v>
      </c>
      <c r="I17"/>
      <c r="J17" s="4">
        <v>11</v>
      </c>
      <c r="K17" s="1">
        <v>83</v>
      </c>
      <c r="L17"/>
      <c r="N17"/>
      <c r="O17"/>
      <c r="P17"/>
      <c r="Q17"/>
      <c r="R17"/>
      <c r="S17"/>
      <c r="T17"/>
      <c r="U17"/>
      <c r="V17"/>
      <c r="W17"/>
      <c r="X17"/>
      <c r="Y17"/>
      <c r="Z17"/>
    </row>
    <row r="18" spans="2:26" ht="15" customHeight="1" x14ac:dyDescent="0.25">
      <c r="B18"/>
      <c r="C18" s="4" t="s">
        <v>2246</v>
      </c>
      <c r="D18" s="1">
        <v>58</v>
      </c>
      <c r="E18" s="1">
        <v>60</v>
      </c>
      <c r="F18" s="1">
        <v>78</v>
      </c>
      <c r="G18" s="1">
        <v>53</v>
      </c>
      <c r="H18" s="1">
        <v>249</v>
      </c>
      <c r="I18"/>
      <c r="J18" s="4">
        <v>12</v>
      </c>
      <c r="K18" s="1">
        <v>74</v>
      </c>
      <c r="L18"/>
      <c r="N18"/>
      <c r="O18"/>
      <c r="P18"/>
      <c r="Q18"/>
      <c r="R18"/>
      <c r="S18"/>
      <c r="T18"/>
      <c r="U18"/>
      <c r="V18"/>
      <c r="W18"/>
      <c r="X18"/>
      <c r="Y18"/>
      <c r="Z18"/>
    </row>
    <row r="19" spans="2:26" ht="15" customHeight="1" x14ac:dyDescent="0.25">
      <c r="B19"/>
      <c r="C19" s="4" t="s">
        <v>2247</v>
      </c>
      <c r="D19" s="1">
        <v>79</v>
      </c>
      <c r="E19" s="1">
        <v>74</v>
      </c>
      <c r="F19" s="1">
        <v>59</v>
      </c>
      <c r="G19" s="1">
        <v>67</v>
      </c>
      <c r="H19" s="1">
        <v>279</v>
      </c>
      <c r="I19"/>
      <c r="J19"/>
      <c r="K19"/>
      <c r="L19"/>
      <c r="N19"/>
      <c r="O19"/>
      <c r="P19"/>
      <c r="Q19"/>
      <c r="R19"/>
      <c r="U19"/>
      <c r="V19"/>
      <c r="W19"/>
      <c r="X19"/>
      <c r="Y19"/>
      <c r="Z19"/>
    </row>
    <row r="20" spans="2:26" ht="15" customHeight="1" x14ac:dyDescent="0.25">
      <c r="B20"/>
      <c r="C20" s="4" t="s">
        <v>2248</v>
      </c>
      <c r="D20" s="1">
        <v>73</v>
      </c>
      <c r="E20" s="1">
        <v>69</v>
      </c>
      <c r="F20" s="1">
        <v>67</v>
      </c>
      <c r="G20" s="1">
        <v>78</v>
      </c>
      <c r="H20" s="1">
        <v>287</v>
      </c>
      <c r="I20"/>
      <c r="J20"/>
      <c r="K20"/>
      <c r="L20"/>
      <c r="N20"/>
      <c r="O20"/>
      <c r="P20"/>
      <c r="Q20"/>
      <c r="R20"/>
      <c r="U20"/>
      <c r="V20"/>
      <c r="W20"/>
      <c r="X20"/>
      <c r="Y20"/>
      <c r="Z20"/>
    </row>
    <row r="21" spans="2:26" ht="15" customHeight="1" x14ac:dyDescent="0.25">
      <c r="B21"/>
      <c r="C21" s="4" t="s">
        <v>2254</v>
      </c>
      <c r="D21" s="1">
        <v>263</v>
      </c>
      <c r="E21" s="1">
        <v>242</v>
      </c>
      <c r="F21" s="1">
        <v>241</v>
      </c>
      <c r="G21" s="1">
        <v>254</v>
      </c>
      <c r="H21" s="1">
        <v>1000</v>
      </c>
      <c r="I21"/>
      <c r="J21"/>
      <c r="K21"/>
      <c r="L21"/>
      <c r="N21"/>
      <c r="O21"/>
      <c r="P21"/>
      <c r="Q21"/>
      <c r="R21"/>
      <c r="U21"/>
      <c r="V21"/>
      <c r="Z21"/>
    </row>
    <row r="22" spans="2:26" ht="15" customHeight="1" x14ac:dyDescent="0.25">
      <c r="B22"/>
      <c r="C22"/>
      <c r="D22"/>
      <c r="E22"/>
      <c r="I22"/>
      <c r="J22"/>
      <c r="K22"/>
      <c r="L22"/>
      <c r="N22"/>
      <c r="O22"/>
      <c r="P22"/>
      <c r="Q22"/>
      <c r="R22"/>
      <c r="U22"/>
      <c r="V22"/>
      <c r="Z22"/>
    </row>
    <row r="23" spans="2:26" ht="15" customHeight="1" x14ac:dyDescent="0.25">
      <c r="B23"/>
      <c r="C23"/>
      <c r="D23"/>
      <c r="E23"/>
      <c r="I23"/>
      <c r="J23" s="3" t="s">
        <v>2253</v>
      </c>
      <c r="K23" t="s">
        <v>2258</v>
      </c>
      <c r="L23"/>
      <c r="N23"/>
      <c r="O23"/>
      <c r="P23"/>
      <c r="Q23"/>
      <c r="R23"/>
      <c r="U23"/>
      <c r="V23"/>
      <c r="Z23"/>
    </row>
    <row r="24" spans="2:26" ht="15" customHeight="1" x14ac:dyDescent="0.25">
      <c r="B24"/>
      <c r="C24"/>
      <c r="D24"/>
      <c r="E24"/>
      <c r="I24"/>
      <c r="J24" s="4" t="s">
        <v>17</v>
      </c>
      <c r="K24" s="1">
        <v>77.884615384615387</v>
      </c>
      <c r="L24"/>
      <c r="M24"/>
      <c r="N24"/>
      <c r="O24"/>
      <c r="P24"/>
      <c r="Q24"/>
      <c r="R24"/>
      <c r="U24"/>
      <c r="V24"/>
      <c r="Z24"/>
    </row>
    <row r="25" spans="2:26" ht="15" customHeight="1" x14ac:dyDescent="0.25">
      <c r="B25"/>
      <c r="C25"/>
      <c r="D25" s="3" t="s">
        <v>2253</v>
      </c>
      <c r="E25" t="s">
        <v>2256</v>
      </c>
      <c r="F25"/>
      <c r="G25"/>
      <c r="I25"/>
      <c r="J25" s="4" t="s">
        <v>14</v>
      </c>
      <c r="K25" s="1">
        <v>81.230769230769226</v>
      </c>
      <c r="L25"/>
      <c r="M25"/>
      <c r="N25"/>
      <c r="O25"/>
      <c r="P25"/>
      <c r="Q25"/>
      <c r="R25"/>
      <c r="S25"/>
      <c r="T25"/>
      <c r="U25"/>
      <c r="V25"/>
      <c r="Z25"/>
    </row>
    <row r="26" spans="2:26" ht="15" customHeight="1" x14ac:dyDescent="0.25">
      <c r="B26"/>
      <c r="C26"/>
      <c r="D26" s="4">
        <v>1</v>
      </c>
      <c r="E26" s="18">
        <v>0.94296875000000002</v>
      </c>
      <c r="F26"/>
      <c r="G26"/>
      <c r="I26"/>
      <c r="J26" s="4" t="s">
        <v>20</v>
      </c>
      <c r="K26" s="1">
        <v>81.615384615384613</v>
      </c>
      <c r="L26"/>
      <c r="M26"/>
      <c r="N26"/>
      <c r="O26"/>
      <c r="P26"/>
      <c r="Q26"/>
      <c r="R26"/>
      <c r="S26"/>
      <c r="T26"/>
      <c r="U26"/>
      <c r="V26"/>
      <c r="Z26"/>
    </row>
    <row r="27" spans="2:26" ht="15" customHeight="1" x14ac:dyDescent="0.25">
      <c r="B27"/>
      <c r="C27"/>
      <c r="D27" s="4">
        <v>2</v>
      </c>
      <c r="E27" s="18">
        <v>0.91709638400814875</v>
      </c>
      <c r="F27"/>
      <c r="G27"/>
      <c r="I27"/>
      <c r="J27" s="4" t="s">
        <v>9</v>
      </c>
      <c r="K27" s="1">
        <v>79.269230769230774</v>
      </c>
      <c r="L27"/>
      <c r="M27"/>
      <c r="N27"/>
      <c r="O27"/>
      <c r="P27"/>
      <c r="Q27"/>
      <c r="R27"/>
      <c r="S27"/>
      <c r="T27"/>
      <c r="U27"/>
      <c r="V27"/>
      <c r="Z27"/>
    </row>
    <row r="28" spans="2:26" ht="15" customHeight="1" x14ac:dyDescent="0.25">
      <c r="B28"/>
      <c r="C28"/>
      <c r="D28" s="4">
        <v>3</v>
      </c>
      <c r="E28" s="18">
        <v>0.94121647267206476</v>
      </c>
      <c r="F28"/>
      <c r="G28"/>
      <c r="H28"/>
      <c r="I28"/>
      <c r="J28" s="4" t="s">
        <v>2254</v>
      </c>
      <c r="K28" s="1">
        <v>80</v>
      </c>
      <c r="L28"/>
      <c r="M28"/>
      <c r="N28"/>
      <c r="O28"/>
      <c r="P28"/>
      <c r="Q28"/>
      <c r="R28"/>
      <c r="S28"/>
      <c r="T28"/>
      <c r="U28"/>
      <c r="V28"/>
      <c r="Z28"/>
    </row>
    <row r="29" spans="2:26" ht="15" customHeight="1" x14ac:dyDescent="0.25">
      <c r="B29"/>
      <c r="C29"/>
      <c r="D29" s="4">
        <v>4</v>
      </c>
      <c r="E29" s="18">
        <v>0.93770345976228342</v>
      </c>
      <c r="F29"/>
      <c r="G29"/>
      <c r="H29"/>
      <c r="I29"/>
      <c r="J29"/>
      <c r="K29"/>
      <c r="L29"/>
      <c r="M29"/>
      <c r="N29"/>
      <c r="O29"/>
      <c r="P29"/>
      <c r="Q29"/>
      <c r="R29"/>
      <c r="S29"/>
      <c r="T29"/>
      <c r="U29"/>
      <c r="V29"/>
      <c r="Z29"/>
    </row>
    <row r="30" spans="2:26" ht="15" customHeight="1" x14ac:dyDescent="0.25">
      <c r="B30"/>
      <c r="C30"/>
      <c r="D30" s="4">
        <v>5</v>
      </c>
      <c r="E30" s="18">
        <v>0.9355413072018004</v>
      </c>
      <c r="F30"/>
      <c r="G30"/>
      <c r="H30"/>
      <c r="I30"/>
      <c r="J30"/>
      <c r="K30"/>
      <c r="L30"/>
      <c r="M30"/>
      <c r="N30"/>
      <c r="O30"/>
      <c r="P30"/>
      <c r="Q30"/>
      <c r="R30"/>
      <c r="S30"/>
      <c r="T30"/>
      <c r="U30"/>
      <c r="V30"/>
      <c r="Z30"/>
    </row>
    <row r="31" spans="2:26" ht="15" customHeight="1" x14ac:dyDescent="0.25">
      <c r="B31"/>
      <c r="C31"/>
      <c r="D31" s="4">
        <v>6</v>
      </c>
      <c r="E31" s="18">
        <v>0.90272620335759712</v>
      </c>
      <c r="F31"/>
      <c r="G31"/>
      <c r="J31"/>
      <c r="K31"/>
      <c r="L31"/>
      <c r="M31"/>
      <c r="N31"/>
      <c r="O31"/>
      <c r="P31"/>
      <c r="Q31"/>
      <c r="R31"/>
      <c r="S31"/>
      <c r="T31"/>
      <c r="U31"/>
      <c r="V31"/>
      <c r="Z31"/>
    </row>
    <row r="32" spans="2:26" ht="15" customHeight="1" x14ac:dyDescent="0.25">
      <c r="B32"/>
      <c r="C32"/>
      <c r="D32" s="4">
        <v>7</v>
      </c>
      <c r="E32" s="18">
        <v>0.89708224084962107</v>
      </c>
      <c r="F32"/>
      <c r="G32"/>
      <c r="I32" s="17">
        <f>AVERAGE(patients[age])</f>
        <v>45.337000000000003</v>
      </c>
      <c r="J32"/>
      <c r="K32"/>
      <c r="L32"/>
      <c r="M32"/>
      <c r="N32"/>
      <c r="O32"/>
      <c r="P32"/>
      <c r="Q32"/>
      <c r="R32"/>
      <c r="S32"/>
      <c r="T32"/>
      <c r="U32"/>
      <c r="V32"/>
      <c r="Z32"/>
    </row>
    <row r="33" spans="2:26" ht="15" customHeight="1" x14ac:dyDescent="0.25">
      <c r="B33"/>
      <c r="C33"/>
      <c r="D33" s="4">
        <v>8</v>
      </c>
      <c r="E33" s="18">
        <v>0.93820704525089604</v>
      </c>
      <c r="F33"/>
      <c r="G33"/>
      <c r="J33"/>
      <c r="K33"/>
      <c r="L33"/>
      <c r="M33"/>
      <c r="N33"/>
      <c r="O33"/>
      <c r="P33"/>
      <c r="Q33"/>
      <c r="R33"/>
      <c r="U33"/>
      <c r="V33"/>
      <c r="Z33"/>
    </row>
    <row r="34" spans="2:26" ht="15" customHeight="1" x14ac:dyDescent="0.25">
      <c r="B34"/>
      <c r="C34"/>
      <c r="D34" s="4">
        <v>9</v>
      </c>
      <c r="E34" s="18">
        <v>0.87720677736438402</v>
      </c>
      <c r="F34"/>
      <c r="G34"/>
      <c r="J34"/>
      <c r="K34" s="3" t="s">
        <v>2253</v>
      </c>
      <c r="L34" t="s">
        <v>2259</v>
      </c>
      <c r="M34"/>
      <c r="N34"/>
      <c r="O34"/>
      <c r="P34"/>
      <c r="Q34"/>
      <c r="R34"/>
      <c r="U34"/>
      <c r="V34"/>
      <c r="Z34"/>
    </row>
    <row r="35" spans="2:26" ht="15" customHeight="1" x14ac:dyDescent="0.25">
      <c r="B35"/>
      <c r="C35"/>
      <c r="D35" s="4">
        <v>10</v>
      </c>
      <c r="E35" s="18">
        <v>0.96938718140929536</v>
      </c>
      <c r="F35"/>
      <c r="G35"/>
      <c r="J35"/>
      <c r="K35" s="20">
        <v>1</v>
      </c>
      <c r="L35" s="1">
        <v>78.53947368421052</v>
      </c>
      <c r="M35"/>
      <c r="N35"/>
      <c r="O35"/>
      <c r="P35"/>
      <c r="Q35"/>
      <c r="R35"/>
      <c r="U35"/>
      <c r="V35"/>
      <c r="W35"/>
      <c r="X35"/>
      <c r="Y35"/>
      <c r="Z35"/>
    </row>
    <row r="36" spans="2:26" ht="15" customHeight="1" x14ac:dyDescent="0.25">
      <c r="B36"/>
      <c r="C36"/>
      <c r="D36" s="4">
        <v>11</v>
      </c>
      <c r="E36" s="18">
        <v>0.91570436507936503</v>
      </c>
      <c r="F36"/>
      <c r="G36"/>
      <c r="J36"/>
      <c r="K36" s="20">
        <v>2</v>
      </c>
      <c r="L36" s="1">
        <v>77.318181818181813</v>
      </c>
      <c r="M36"/>
      <c r="N36"/>
      <c r="O36"/>
      <c r="P36"/>
      <c r="Q36"/>
      <c r="R36"/>
      <c r="U36"/>
      <c r="V36"/>
      <c r="W36"/>
      <c r="X36"/>
      <c r="Y36"/>
      <c r="Z36"/>
    </row>
    <row r="37" spans="2:26" ht="15" customHeight="1" x14ac:dyDescent="0.25">
      <c r="B37"/>
      <c r="C37"/>
      <c r="D37" s="4">
        <v>12</v>
      </c>
      <c r="E37" s="18">
        <v>0.92316082719487647</v>
      </c>
      <c r="F37"/>
      <c r="G37"/>
      <c r="J37"/>
      <c r="K37" s="20">
        <v>3</v>
      </c>
      <c r="L37" s="1">
        <v>78.264705882352942</v>
      </c>
      <c r="M37"/>
      <c r="N37"/>
      <c r="O37"/>
      <c r="P37"/>
      <c r="Q37"/>
      <c r="R37"/>
      <c r="U37"/>
      <c r="V37"/>
      <c r="W37"/>
      <c r="X37"/>
      <c r="Y37"/>
      <c r="Z37"/>
    </row>
    <row r="38" spans="2:26" ht="15" customHeight="1" x14ac:dyDescent="0.25">
      <c r="B38"/>
      <c r="C38"/>
      <c r="D38" s="4" t="s">
        <v>2254</v>
      </c>
      <c r="E38" s="18">
        <v>0.92470475702655475</v>
      </c>
      <c r="F38"/>
      <c r="G38"/>
      <c r="J38"/>
      <c r="K38" s="20">
        <v>4</v>
      </c>
      <c r="L38" s="1">
        <v>78.791666666666671</v>
      </c>
      <c r="M38"/>
      <c r="N38"/>
      <c r="O38"/>
      <c r="P38"/>
      <c r="Q38"/>
      <c r="R38"/>
      <c r="U38"/>
      <c r="V38"/>
      <c r="W38"/>
      <c r="X38"/>
      <c r="Y38"/>
      <c r="Z38"/>
    </row>
    <row r="39" spans="2:26" ht="15" customHeight="1" x14ac:dyDescent="0.25">
      <c r="B39"/>
      <c r="C39"/>
      <c r="D39"/>
      <c r="E39"/>
      <c r="F39"/>
      <c r="G39"/>
      <c r="J39"/>
      <c r="K39" s="20">
        <v>5</v>
      </c>
      <c r="L39" s="1">
        <v>79.941176470588232</v>
      </c>
      <c r="M39"/>
      <c r="N39"/>
      <c r="O39"/>
      <c r="P39"/>
      <c r="Q39"/>
      <c r="R39"/>
      <c r="U39"/>
      <c r="V39"/>
      <c r="W39"/>
      <c r="X39"/>
      <c r="Y39"/>
      <c r="Z39"/>
    </row>
    <row r="40" spans="2:26" ht="15" customHeight="1" x14ac:dyDescent="0.25">
      <c r="B40"/>
      <c r="C40"/>
      <c r="D40"/>
      <c r="E40"/>
      <c r="F40"/>
      <c r="G40"/>
      <c r="I40"/>
      <c r="J40"/>
      <c r="K40" s="20">
        <v>6</v>
      </c>
      <c r="L40" s="1">
        <v>80.317073170731703</v>
      </c>
      <c r="M40"/>
      <c r="N40"/>
      <c r="O40"/>
      <c r="P40"/>
      <c r="Q40"/>
      <c r="R40"/>
      <c r="U40"/>
      <c r="V40"/>
      <c r="W40" s="6"/>
      <c r="X40" s="6"/>
      <c r="Y40" s="6"/>
      <c r="Z40"/>
    </row>
    <row r="41" spans="2:26" ht="15" customHeight="1" x14ac:dyDescent="0.25">
      <c r="B41"/>
      <c r="C41"/>
      <c r="D41"/>
      <c r="E41"/>
      <c r="F41"/>
      <c r="G41"/>
      <c r="I41"/>
      <c r="J41"/>
      <c r="K41" s="20">
        <v>7</v>
      </c>
      <c r="L41" s="1">
        <v>78.727272727272734</v>
      </c>
      <c r="M41"/>
      <c r="N41"/>
      <c r="O41"/>
      <c r="P41"/>
      <c r="Q41"/>
      <c r="R41"/>
      <c r="S41"/>
      <c r="T41"/>
      <c r="U41"/>
      <c r="V41"/>
      <c r="W41" s="4"/>
      <c r="X41" s="7"/>
      <c r="Y41" s="7"/>
      <c r="Z41"/>
    </row>
    <row r="42" spans="2:26" ht="15" customHeight="1" x14ac:dyDescent="0.25">
      <c r="B42"/>
      <c r="C42"/>
      <c r="D42"/>
      <c r="E42"/>
      <c r="F42"/>
      <c r="I42"/>
      <c r="J42"/>
      <c r="K42" s="20">
        <v>8</v>
      </c>
      <c r="L42" s="1">
        <v>78.72</v>
      </c>
      <c r="M42"/>
      <c r="N42"/>
      <c r="O42"/>
      <c r="P42"/>
      <c r="Q42"/>
      <c r="R42"/>
      <c r="S42"/>
      <c r="T42"/>
      <c r="U42"/>
      <c r="V42"/>
      <c r="W42" s="4"/>
      <c r="X42" s="7"/>
      <c r="Y42" s="7"/>
      <c r="Z42"/>
    </row>
    <row r="43" spans="2:26" ht="15" customHeight="1" x14ac:dyDescent="0.25">
      <c r="B43"/>
      <c r="C43"/>
      <c r="I43"/>
      <c r="J43"/>
      <c r="K43" s="20">
        <v>9</v>
      </c>
      <c r="L43" s="1">
        <v>80.455696202531641</v>
      </c>
      <c r="M43"/>
      <c r="N43"/>
      <c r="O43"/>
      <c r="P43"/>
      <c r="Q43"/>
      <c r="R43"/>
      <c r="S43"/>
      <c r="T43"/>
      <c r="U43"/>
      <c r="V43"/>
      <c r="W43" s="4"/>
      <c r="X43" s="7"/>
      <c r="Y43" s="7"/>
      <c r="Z43"/>
    </row>
    <row r="44" spans="2:26" ht="15" customHeight="1" x14ac:dyDescent="0.25">
      <c r="B44"/>
      <c r="C44"/>
      <c r="I44"/>
      <c r="J44"/>
      <c r="K44" s="20">
        <v>10</v>
      </c>
      <c r="L44" s="1">
        <v>80.666666666666671</v>
      </c>
      <c r="M44"/>
      <c r="N44"/>
      <c r="O44"/>
      <c r="P44"/>
      <c r="Q44"/>
      <c r="R44"/>
      <c r="S44"/>
      <c r="T44"/>
      <c r="U44"/>
      <c r="V44"/>
      <c r="W44" s="4"/>
      <c r="X44" s="7"/>
      <c r="Y44" s="7"/>
      <c r="Z44"/>
    </row>
    <row r="45" spans="2:26" ht="15" customHeight="1" x14ac:dyDescent="0.25">
      <c r="B45"/>
      <c r="C45"/>
      <c r="I45"/>
      <c r="J45"/>
      <c r="K45" s="20">
        <v>11</v>
      </c>
      <c r="L45" s="1">
        <v>81.825396825396822</v>
      </c>
      <c r="M45"/>
      <c r="N45"/>
      <c r="O45"/>
      <c r="P45"/>
      <c r="Q45"/>
      <c r="R45"/>
      <c r="S45"/>
      <c r="T45"/>
      <c r="U45"/>
      <c r="V45"/>
      <c r="W45" s="4"/>
      <c r="X45" s="7"/>
      <c r="Y45" s="7"/>
      <c r="Z45"/>
    </row>
    <row r="46" spans="2:26" ht="15" customHeight="1" x14ac:dyDescent="0.25">
      <c r="B46"/>
      <c r="C46"/>
      <c r="I46"/>
      <c r="J46"/>
      <c r="K46" s="20">
        <v>12</v>
      </c>
      <c r="L46" s="1">
        <v>81.014925373134332</v>
      </c>
      <c r="M46"/>
      <c r="N46"/>
      <c r="O46"/>
      <c r="P46"/>
      <c r="Q46"/>
      <c r="R46"/>
      <c r="S46"/>
      <c r="T46"/>
      <c r="U46"/>
      <c r="V46"/>
      <c r="W46" s="4"/>
      <c r="X46" s="7"/>
      <c r="Y46" s="7"/>
      <c r="Z46"/>
    </row>
    <row r="47" spans="2:26" ht="15" customHeight="1" x14ac:dyDescent="0.25">
      <c r="B47"/>
      <c r="C47"/>
      <c r="I47"/>
      <c r="J47"/>
      <c r="K47" s="20">
        <v>13</v>
      </c>
      <c r="L47" s="1">
        <v>79.342857142857142</v>
      </c>
      <c r="M47"/>
    </row>
    <row r="48" spans="2:26" ht="15" customHeight="1" x14ac:dyDescent="0.25">
      <c r="B48"/>
      <c r="C48"/>
      <c r="I48"/>
      <c r="J48"/>
      <c r="K48" s="20">
        <v>14</v>
      </c>
      <c r="L48" s="1">
        <v>80.629032258064512</v>
      </c>
      <c r="M48"/>
    </row>
    <row r="49" spans="2:13" ht="15" customHeight="1" x14ac:dyDescent="0.25">
      <c r="B49"/>
      <c r="C49"/>
      <c r="I49"/>
      <c r="J49"/>
      <c r="K49" s="4" t="s">
        <v>2254</v>
      </c>
      <c r="L49" s="1">
        <v>79.596999999999994</v>
      </c>
      <c r="M49"/>
    </row>
    <row r="50" spans="2:13" ht="15" customHeight="1" x14ac:dyDescent="0.25">
      <c r="B50"/>
      <c r="C50"/>
      <c r="I50"/>
      <c r="J50"/>
      <c r="K50"/>
      <c r="L50"/>
      <c r="M50"/>
    </row>
    <row r="51" spans="2:13" ht="15" customHeight="1" x14ac:dyDescent="0.25">
      <c r="B51"/>
      <c r="C51"/>
      <c r="I51"/>
      <c r="J51"/>
      <c r="K51"/>
      <c r="L51"/>
      <c r="M51"/>
    </row>
    <row r="52" spans="2:13" ht="15" customHeight="1" x14ac:dyDescent="0.25">
      <c r="B52"/>
      <c r="C52"/>
      <c r="I52"/>
      <c r="J52"/>
      <c r="K52"/>
    </row>
    <row r="53" spans="2:13" ht="15" customHeight="1" x14ac:dyDescent="0.25">
      <c r="B53"/>
      <c r="C53"/>
      <c r="I53"/>
      <c r="J53"/>
      <c r="K53"/>
    </row>
    <row r="54" spans="2:13" ht="15" customHeight="1" x14ac:dyDescent="0.25">
      <c r="B54"/>
      <c r="C54"/>
      <c r="J54"/>
      <c r="K54"/>
    </row>
    <row r="55" spans="2:13" ht="15" customHeight="1" x14ac:dyDescent="0.25">
      <c r="B55"/>
      <c r="C55"/>
      <c r="J55"/>
      <c r="K55"/>
    </row>
    <row r="56" spans="2:13" ht="15" customHeight="1" x14ac:dyDescent="0.25">
      <c r="B56"/>
      <c r="C56"/>
      <c r="J56"/>
      <c r="K56"/>
    </row>
    <row r="57" spans="2:13" ht="15" customHeight="1" x14ac:dyDescent="0.25">
      <c r="B57"/>
      <c r="C57"/>
      <c r="J57"/>
      <c r="K57"/>
    </row>
    <row r="58" spans="2:13" ht="15" customHeight="1" x14ac:dyDescent="0.25">
      <c r="B58"/>
      <c r="C58"/>
      <c r="J58"/>
      <c r="K58"/>
    </row>
    <row r="59" spans="2:13" ht="15" customHeight="1" x14ac:dyDescent="0.25">
      <c r="B59"/>
      <c r="C59"/>
      <c r="J59"/>
      <c r="K59"/>
    </row>
    <row r="60" spans="2:13" ht="15" customHeight="1" x14ac:dyDescent="0.25">
      <c r="B60"/>
      <c r="C60"/>
      <c r="J60"/>
      <c r="K60"/>
    </row>
    <row r="61" spans="2:13" ht="15" customHeight="1" x14ac:dyDescent="0.25">
      <c r="B61"/>
      <c r="C61"/>
      <c r="J61"/>
      <c r="K61"/>
    </row>
    <row r="62" spans="2:13" ht="15" customHeight="1" x14ac:dyDescent="0.25">
      <c r="B62"/>
      <c r="C62"/>
      <c r="J62"/>
      <c r="K62"/>
    </row>
    <row r="63" spans="2:13" ht="15" customHeight="1" x14ac:dyDescent="0.25">
      <c r="B63"/>
      <c r="C63"/>
      <c r="J63"/>
      <c r="K63"/>
    </row>
    <row r="64" spans="2:13" ht="15" customHeight="1" x14ac:dyDescent="0.25">
      <c r="B64"/>
      <c r="C64"/>
      <c r="J64"/>
      <c r="K64"/>
    </row>
    <row r="65" spans="2:11" ht="15" customHeight="1" x14ac:dyDescent="0.25">
      <c r="B65"/>
      <c r="C65"/>
      <c r="J65"/>
      <c r="K65"/>
    </row>
    <row r="66" spans="2:11" ht="15" customHeight="1" x14ac:dyDescent="0.25">
      <c r="B66"/>
      <c r="C66"/>
      <c r="J66"/>
      <c r="K66"/>
    </row>
    <row r="67" spans="2:11" ht="15" customHeight="1" x14ac:dyDescent="0.25">
      <c r="B67"/>
      <c r="C67"/>
      <c r="J67"/>
      <c r="K67"/>
    </row>
    <row r="68" spans="2:11" ht="15" customHeight="1" x14ac:dyDescent="0.25">
      <c r="B68"/>
      <c r="C68"/>
      <c r="J68"/>
      <c r="K68"/>
    </row>
    <row r="69" spans="2:11" ht="15" customHeight="1" x14ac:dyDescent="0.25">
      <c r="B69"/>
      <c r="C69"/>
      <c r="J69"/>
      <c r="K69"/>
    </row>
    <row r="70" spans="2:11" ht="15" customHeight="1" x14ac:dyDescent="0.25">
      <c r="B70"/>
      <c r="C70"/>
      <c r="J70"/>
      <c r="K70"/>
    </row>
    <row r="71" spans="2:11" ht="15" customHeight="1" x14ac:dyDescent="0.25">
      <c r="B71"/>
      <c r="C71"/>
      <c r="J71"/>
      <c r="K71"/>
    </row>
    <row r="72" spans="2:11" ht="15" customHeight="1" x14ac:dyDescent="0.25">
      <c r="B72"/>
      <c r="C72"/>
      <c r="J72"/>
      <c r="K72"/>
    </row>
    <row r="73" spans="2:11" ht="15" customHeight="1" x14ac:dyDescent="0.25">
      <c r="B73"/>
      <c r="C73"/>
      <c r="J73"/>
      <c r="K73"/>
    </row>
    <row r="74" spans="2:11" ht="15" customHeight="1" x14ac:dyDescent="0.25">
      <c r="B74"/>
      <c r="C74"/>
      <c r="J74"/>
      <c r="K74"/>
    </row>
    <row r="75" spans="2:11" ht="15" customHeight="1" x14ac:dyDescent="0.25">
      <c r="B75"/>
      <c r="C75"/>
      <c r="J75"/>
      <c r="K75"/>
    </row>
    <row r="76" spans="2:11" ht="15" customHeight="1" x14ac:dyDescent="0.25">
      <c r="B76"/>
      <c r="C76"/>
      <c r="J76"/>
      <c r="K76"/>
    </row>
    <row r="77" spans="2:11" ht="15" customHeight="1" x14ac:dyDescent="0.25">
      <c r="B77"/>
      <c r="C77"/>
      <c r="J77"/>
      <c r="K77"/>
    </row>
    <row r="78" spans="2:11" ht="15" customHeight="1" x14ac:dyDescent="0.25">
      <c r="B78"/>
      <c r="C78"/>
      <c r="J78"/>
      <c r="K78"/>
    </row>
    <row r="79" spans="2:11" ht="15" customHeight="1" x14ac:dyDescent="0.25">
      <c r="B79"/>
      <c r="C79"/>
      <c r="J79"/>
      <c r="K79"/>
    </row>
    <row r="80" spans="2:11" ht="15" customHeight="1" x14ac:dyDescent="0.25">
      <c r="B80"/>
      <c r="C80"/>
      <c r="J80"/>
      <c r="K80"/>
    </row>
    <row r="81" spans="2:11" ht="15" customHeight="1" x14ac:dyDescent="0.25">
      <c r="B81"/>
      <c r="C81"/>
      <c r="J81"/>
      <c r="K81"/>
    </row>
    <row r="82" spans="2:11" ht="15" customHeight="1" x14ac:dyDescent="0.25">
      <c r="B82"/>
      <c r="C82"/>
      <c r="J82"/>
      <c r="K82"/>
    </row>
    <row r="83" spans="2:11" ht="15" customHeight="1" x14ac:dyDescent="0.25">
      <c r="B83"/>
      <c r="C83"/>
      <c r="J83"/>
      <c r="K83"/>
    </row>
    <row r="84" spans="2:11" ht="15" customHeight="1" x14ac:dyDescent="0.25">
      <c r="B84"/>
      <c r="C84"/>
      <c r="J84"/>
      <c r="K84"/>
    </row>
    <row r="85" spans="2:11" ht="15" customHeight="1" x14ac:dyDescent="0.25">
      <c r="B85"/>
      <c r="C85"/>
      <c r="J85"/>
      <c r="K85"/>
    </row>
    <row r="86" spans="2:11" ht="15" customHeight="1" x14ac:dyDescent="0.25">
      <c r="B86"/>
      <c r="C86"/>
      <c r="J86"/>
      <c r="K86"/>
    </row>
    <row r="87" spans="2:11" ht="15" customHeight="1" x14ac:dyDescent="0.25">
      <c r="B87"/>
      <c r="C87"/>
      <c r="J87"/>
      <c r="K87"/>
    </row>
    <row r="88" spans="2:11" ht="15" customHeight="1" x14ac:dyDescent="0.25">
      <c r="B88"/>
      <c r="C88"/>
      <c r="J88"/>
      <c r="K88"/>
    </row>
    <row r="89" spans="2:11" ht="15" customHeight="1" x14ac:dyDescent="0.25">
      <c r="B89"/>
      <c r="C89"/>
      <c r="J89"/>
      <c r="K89"/>
    </row>
    <row r="90" spans="2:11" ht="15" customHeight="1" x14ac:dyDescent="0.25">
      <c r="B90"/>
      <c r="C90"/>
      <c r="J90"/>
      <c r="K90"/>
    </row>
    <row r="91" spans="2:11" ht="15" customHeight="1" x14ac:dyDescent="0.25">
      <c r="B91"/>
      <c r="C91"/>
      <c r="J91"/>
      <c r="K91"/>
    </row>
    <row r="92" spans="2:11" ht="15" customHeight="1" x14ac:dyDescent="0.25">
      <c r="B92"/>
      <c r="C92"/>
      <c r="J92"/>
      <c r="K92"/>
    </row>
    <row r="93" spans="2:11" ht="15" customHeight="1" x14ac:dyDescent="0.25">
      <c r="B93"/>
      <c r="C93"/>
      <c r="J93"/>
      <c r="K93"/>
    </row>
    <row r="94" spans="2:11" ht="15" customHeight="1" x14ac:dyDescent="0.25">
      <c r="B94"/>
      <c r="C94"/>
      <c r="J94"/>
      <c r="K94"/>
    </row>
    <row r="95" spans="2:11" ht="15" customHeight="1" x14ac:dyDescent="0.25">
      <c r="C95"/>
      <c r="J95"/>
      <c r="K95"/>
    </row>
    <row r="96" spans="2:11" ht="15" customHeight="1" x14ac:dyDescent="0.25">
      <c r="C96"/>
      <c r="J96"/>
      <c r="K96"/>
    </row>
    <row r="97" spans="3:11" ht="15" customHeight="1" x14ac:dyDescent="0.25">
      <c r="C97"/>
      <c r="J97"/>
      <c r="K97"/>
    </row>
    <row r="98" spans="3:11" ht="15" customHeight="1" x14ac:dyDescent="0.25">
      <c r="C98"/>
      <c r="J98"/>
      <c r="K98"/>
    </row>
    <row r="99" spans="3:11" ht="15" customHeight="1" x14ac:dyDescent="0.25">
      <c r="C99"/>
      <c r="J99"/>
      <c r="K99"/>
    </row>
    <row r="100" spans="3:11" ht="15" customHeight="1" x14ac:dyDescent="0.25">
      <c r="C100"/>
      <c r="J100"/>
      <c r="K100"/>
    </row>
    <row r="101" spans="3:11" ht="15" customHeight="1" x14ac:dyDescent="0.25">
      <c r="C101"/>
      <c r="J101"/>
      <c r="K101"/>
    </row>
    <row r="102" spans="3:11" ht="15" customHeight="1" x14ac:dyDescent="0.25">
      <c r="C102"/>
      <c r="J102"/>
      <c r="K102"/>
    </row>
    <row r="103" spans="3:11" ht="15" customHeight="1" x14ac:dyDescent="0.25">
      <c r="C103"/>
      <c r="J103"/>
      <c r="K103"/>
    </row>
    <row r="104" spans="3:11" ht="15" customHeight="1" x14ac:dyDescent="0.25">
      <c r="C104"/>
      <c r="J104"/>
      <c r="K104"/>
    </row>
    <row r="105" spans="3:11" ht="15" customHeight="1" x14ac:dyDescent="0.25">
      <c r="C105"/>
      <c r="J105"/>
      <c r="K105"/>
    </row>
    <row r="106" spans="3:11" ht="15" customHeight="1" x14ac:dyDescent="0.25">
      <c r="C106"/>
      <c r="J106"/>
      <c r="K106"/>
    </row>
    <row r="107" spans="3:11" ht="15" customHeight="1" x14ac:dyDescent="0.25">
      <c r="J107"/>
      <c r="K107"/>
    </row>
    <row r="108" spans="3:11" ht="15" customHeight="1" x14ac:dyDescent="0.25">
      <c r="J108"/>
      <c r="K108"/>
    </row>
    <row r="109" spans="3:11" ht="15" customHeight="1" x14ac:dyDescent="0.25">
      <c r="J109"/>
      <c r="K109"/>
    </row>
    <row r="110" spans="3:11" ht="15" customHeight="1" x14ac:dyDescent="0.25">
      <c r="J110"/>
      <c r="K110"/>
    </row>
    <row r="111" spans="3:11" ht="15" customHeight="1" x14ac:dyDescent="0.25">
      <c r="J111"/>
      <c r="K111"/>
    </row>
    <row r="112" spans="3:11" ht="15" customHeight="1" x14ac:dyDescent="0.25">
      <c r="J112"/>
      <c r="K112"/>
    </row>
    <row r="113" spans="10:11" ht="15" customHeight="1" x14ac:dyDescent="0.25">
      <c r="J113"/>
      <c r="K113"/>
    </row>
    <row r="114" spans="10:11" ht="15" customHeight="1" x14ac:dyDescent="0.25">
      <c r="J114"/>
      <c r="K114"/>
    </row>
    <row r="115" spans="10:11" ht="15" customHeight="1" x14ac:dyDescent="0.25">
      <c r="J115"/>
      <c r="K115"/>
    </row>
    <row r="116" spans="10:11" ht="15" customHeight="1" x14ac:dyDescent="0.25">
      <c r="J116"/>
      <c r="K116"/>
    </row>
    <row r="117" spans="10:11" ht="15" customHeight="1" x14ac:dyDescent="0.25">
      <c r="J117"/>
      <c r="K117"/>
    </row>
    <row r="118" spans="10:11" ht="15" customHeight="1" x14ac:dyDescent="0.25">
      <c r="J118"/>
      <c r="K118"/>
    </row>
    <row r="119" spans="10:11" ht="15" customHeight="1" x14ac:dyDescent="0.25">
      <c r="J119"/>
      <c r="K119"/>
    </row>
    <row r="120" spans="10:11" ht="15" customHeight="1" x14ac:dyDescent="0.25">
      <c r="J120"/>
      <c r="K120"/>
    </row>
    <row r="121" spans="10:11" ht="15" customHeight="1" x14ac:dyDescent="0.25">
      <c r="J121"/>
      <c r="K121"/>
    </row>
    <row r="122" spans="10:11" ht="15" customHeight="1" x14ac:dyDescent="0.25">
      <c r="J122"/>
      <c r="K122"/>
    </row>
    <row r="123" spans="10:11" ht="15" customHeight="1" x14ac:dyDescent="0.25">
      <c r="J123"/>
      <c r="K123"/>
    </row>
    <row r="124" spans="10:11" ht="15" customHeight="1" x14ac:dyDescent="0.25">
      <c r="J124"/>
      <c r="K124"/>
    </row>
    <row r="125" spans="10:11" ht="15" customHeight="1" x14ac:dyDescent="0.25">
      <c r="J125"/>
      <c r="K125"/>
    </row>
    <row r="126" spans="10:11" ht="15" customHeight="1" x14ac:dyDescent="0.25">
      <c r="J126"/>
      <c r="K126"/>
    </row>
    <row r="127" spans="10:11" ht="15" customHeight="1" x14ac:dyDescent="0.25">
      <c r="J127"/>
      <c r="K127"/>
    </row>
    <row r="128" spans="10:11" ht="15" customHeight="1" x14ac:dyDescent="0.25">
      <c r="J128"/>
      <c r="K128"/>
    </row>
    <row r="129" spans="10:11" ht="15" customHeight="1" x14ac:dyDescent="0.25">
      <c r="J129"/>
      <c r="K129"/>
    </row>
    <row r="130" spans="10:11" ht="15" customHeight="1" x14ac:dyDescent="0.25">
      <c r="J130"/>
      <c r="K130"/>
    </row>
    <row r="131" spans="10:11" ht="15" customHeight="1" x14ac:dyDescent="0.25">
      <c r="J131"/>
      <c r="K131"/>
    </row>
    <row r="132" spans="10:11" ht="15" customHeight="1" x14ac:dyDescent="0.25">
      <c r="J132"/>
      <c r="K132"/>
    </row>
    <row r="133" spans="10:11" ht="15" customHeight="1" x14ac:dyDescent="0.25">
      <c r="J133"/>
      <c r="K133"/>
    </row>
    <row r="134" spans="10:11" ht="15" customHeight="1" x14ac:dyDescent="0.25">
      <c r="J134"/>
      <c r="K134"/>
    </row>
    <row r="135" spans="10:11" ht="15" customHeight="1" x14ac:dyDescent="0.25">
      <c r="J135"/>
      <c r="K135"/>
    </row>
    <row r="136" spans="10:11" ht="15" customHeight="1" x14ac:dyDescent="0.25">
      <c r="J136"/>
      <c r="K136"/>
    </row>
    <row r="137" spans="10:11" ht="15" customHeight="1" x14ac:dyDescent="0.25">
      <c r="J137"/>
      <c r="K137"/>
    </row>
    <row r="138" spans="10:11" ht="15" customHeight="1" x14ac:dyDescent="0.25">
      <c r="J138"/>
      <c r="K138"/>
    </row>
    <row r="139" spans="10:11" ht="15" customHeight="1" x14ac:dyDescent="0.25">
      <c r="J139"/>
      <c r="K139"/>
    </row>
    <row r="140" spans="10:11" ht="15" customHeight="1" x14ac:dyDescent="0.25">
      <c r="J140"/>
      <c r="K140"/>
    </row>
    <row r="141" spans="10:11" ht="15" customHeight="1" x14ac:dyDescent="0.25">
      <c r="J141"/>
      <c r="K141"/>
    </row>
    <row r="142" spans="10:11" ht="15" customHeight="1" x14ac:dyDescent="0.25">
      <c r="J142"/>
      <c r="K142"/>
    </row>
    <row r="143" spans="10:11" ht="15" customHeight="1" x14ac:dyDescent="0.25">
      <c r="J143"/>
      <c r="K143"/>
    </row>
    <row r="144" spans="10:11" ht="15" customHeight="1" x14ac:dyDescent="0.25">
      <c r="J144"/>
      <c r="K144"/>
    </row>
    <row r="145" spans="10:11" ht="15" customHeight="1" x14ac:dyDescent="0.25">
      <c r="J145"/>
      <c r="K145"/>
    </row>
    <row r="146" spans="10:11" ht="15" customHeight="1" x14ac:dyDescent="0.25">
      <c r="J146"/>
      <c r="K146"/>
    </row>
    <row r="147" spans="10:11" ht="15" customHeight="1" x14ac:dyDescent="0.25">
      <c r="J147"/>
      <c r="K147"/>
    </row>
    <row r="148" spans="10:11" ht="15" customHeight="1" x14ac:dyDescent="0.25">
      <c r="J148"/>
      <c r="K148"/>
    </row>
    <row r="149" spans="10:11" ht="15" customHeight="1" x14ac:dyDescent="0.25">
      <c r="J149"/>
      <c r="K149"/>
    </row>
    <row r="150" spans="10:11" ht="15" customHeight="1" x14ac:dyDescent="0.25">
      <c r="J150"/>
      <c r="K150"/>
    </row>
    <row r="151" spans="10:11" ht="15" customHeight="1" x14ac:dyDescent="0.25">
      <c r="J151"/>
      <c r="K151"/>
    </row>
    <row r="152" spans="10:11" ht="15" customHeight="1" x14ac:dyDescent="0.25">
      <c r="J152"/>
      <c r="K152"/>
    </row>
    <row r="153" spans="10:11" ht="15" customHeight="1" x14ac:dyDescent="0.25">
      <c r="J153"/>
      <c r="K153"/>
    </row>
    <row r="154" spans="10:11" ht="15" customHeight="1" x14ac:dyDescent="0.25">
      <c r="J154"/>
      <c r="K154"/>
    </row>
    <row r="155" spans="10:11" ht="15" customHeight="1" x14ac:dyDescent="0.25">
      <c r="J155"/>
      <c r="K155"/>
    </row>
    <row r="156" spans="10:11" ht="15" customHeight="1" x14ac:dyDescent="0.25">
      <c r="J156"/>
      <c r="K156"/>
    </row>
    <row r="157" spans="10:11" ht="15" customHeight="1" x14ac:dyDescent="0.25">
      <c r="J157"/>
      <c r="K157"/>
    </row>
    <row r="158" spans="10:11" ht="15" customHeight="1" x14ac:dyDescent="0.25">
      <c r="J158"/>
      <c r="K158"/>
    </row>
    <row r="159" spans="10:11" ht="15" customHeight="1" x14ac:dyDescent="0.25">
      <c r="J159"/>
      <c r="K159"/>
    </row>
    <row r="160" spans="10:11" ht="15" customHeight="1" x14ac:dyDescent="0.25">
      <c r="J160"/>
      <c r="K160"/>
    </row>
    <row r="161" spans="10:11" ht="15" customHeight="1" x14ac:dyDescent="0.25">
      <c r="J161"/>
      <c r="K161"/>
    </row>
    <row r="162" spans="10:11" ht="15" customHeight="1" x14ac:dyDescent="0.25">
      <c r="J162"/>
      <c r="K162"/>
    </row>
    <row r="163" spans="10:11" ht="15" customHeight="1" x14ac:dyDescent="0.25">
      <c r="J163"/>
      <c r="K163"/>
    </row>
    <row r="164" spans="10:11" ht="15" customHeight="1" x14ac:dyDescent="0.25">
      <c r="J164"/>
      <c r="K164"/>
    </row>
    <row r="165" spans="10:11" ht="15" customHeight="1" x14ac:dyDescent="0.25">
      <c r="J165"/>
      <c r="K165"/>
    </row>
    <row r="166" spans="10:11" ht="15" customHeight="1" x14ac:dyDescent="0.25">
      <c r="J166"/>
      <c r="K166"/>
    </row>
    <row r="167" spans="10:11" ht="15" customHeight="1" x14ac:dyDescent="0.25">
      <c r="J167"/>
      <c r="K167"/>
    </row>
    <row r="168" spans="10:11" ht="15" customHeight="1" x14ac:dyDescent="0.25">
      <c r="J168"/>
      <c r="K168"/>
    </row>
    <row r="169" spans="10:11" ht="15" customHeight="1" x14ac:dyDescent="0.25">
      <c r="J169"/>
      <c r="K169"/>
    </row>
    <row r="170" spans="10:11" ht="15" customHeight="1" x14ac:dyDescent="0.25">
      <c r="J170"/>
      <c r="K170"/>
    </row>
    <row r="171" spans="10:11" ht="15" customHeight="1" x14ac:dyDescent="0.25">
      <c r="J171"/>
      <c r="K171"/>
    </row>
    <row r="172" spans="10:11" ht="15" customHeight="1" x14ac:dyDescent="0.25">
      <c r="J172"/>
      <c r="K172"/>
    </row>
    <row r="173" spans="10:11" ht="15" customHeight="1" x14ac:dyDescent="0.25">
      <c r="J173"/>
      <c r="K173"/>
    </row>
    <row r="174" spans="10:11" ht="15" customHeight="1" x14ac:dyDescent="0.25">
      <c r="J174"/>
      <c r="K174"/>
    </row>
    <row r="175" spans="10:11" ht="15" customHeight="1" x14ac:dyDescent="0.25">
      <c r="J175"/>
      <c r="K175"/>
    </row>
    <row r="176" spans="10:11" ht="15" customHeight="1" x14ac:dyDescent="0.25">
      <c r="J176"/>
      <c r="K176"/>
    </row>
    <row r="177" spans="10:11" ht="15" customHeight="1" x14ac:dyDescent="0.25">
      <c r="J177"/>
      <c r="K177"/>
    </row>
    <row r="178" spans="10:11" ht="15" customHeight="1" x14ac:dyDescent="0.25">
      <c r="J178"/>
      <c r="K178"/>
    </row>
    <row r="179" spans="10:11" ht="15" customHeight="1" x14ac:dyDescent="0.25">
      <c r="J179"/>
      <c r="K179"/>
    </row>
    <row r="180" spans="10:11" ht="15" customHeight="1" x14ac:dyDescent="0.25">
      <c r="J180"/>
      <c r="K180"/>
    </row>
    <row r="181" spans="10:11" ht="15" customHeight="1" x14ac:dyDescent="0.25">
      <c r="J181"/>
      <c r="K181"/>
    </row>
    <row r="182" spans="10:11" ht="15" customHeight="1" x14ac:dyDescent="0.25">
      <c r="J182"/>
      <c r="K182"/>
    </row>
    <row r="183" spans="10:11" ht="15" customHeight="1" x14ac:dyDescent="0.25">
      <c r="J183"/>
      <c r="K183"/>
    </row>
    <row r="184" spans="10:11" ht="15" customHeight="1" x14ac:dyDescent="0.25">
      <c r="J184"/>
      <c r="K184"/>
    </row>
    <row r="185" spans="10:11" ht="15" customHeight="1" x14ac:dyDescent="0.25">
      <c r="J185"/>
      <c r="K185"/>
    </row>
    <row r="186" spans="10:11" ht="15" customHeight="1" x14ac:dyDescent="0.25">
      <c r="J186"/>
      <c r="K186"/>
    </row>
    <row r="187" spans="10:11" ht="15" customHeight="1" x14ac:dyDescent="0.25">
      <c r="J187"/>
      <c r="K187"/>
    </row>
    <row r="188" spans="10:11" ht="15" customHeight="1" x14ac:dyDescent="0.25">
      <c r="J188"/>
      <c r="K188"/>
    </row>
    <row r="189" spans="10:11" ht="15" customHeight="1" x14ac:dyDescent="0.25">
      <c r="J189"/>
      <c r="K189"/>
    </row>
    <row r="190" spans="10:11" ht="15" customHeight="1" x14ac:dyDescent="0.25">
      <c r="J190"/>
      <c r="K190"/>
    </row>
    <row r="191" spans="10:11" ht="15" customHeight="1" x14ac:dyDescent="0.25">
      <c r="J191"/>
      <c r="K191"/>
    </row>
    <row r="192" spans="10:11" ht="15" customHeight="1" x14ac:dyDescent="0.25">
      <c r="J192"/>
      <c r="K192"/>
    </row>
    <row r="193" spans="10:11" ht="15" customHeight="1" x14ac:dyDescent="0.25">
      <c r="J193"/>
      <c r="K193"/>
    </row>
    <row r="194" spans="10:11" ht="15" customHeight="1" x14ac:dyDescent="0.25">
      <c r="J194"/>
      <c r="K194"/>
    </row>
    <row r="195" spans="10:11" ht="15" customHeight="1" x14ac:dyDescent="0.25">
      <c r="J195"/>
      <c r="K195"/>
    </row>
    <row r="196" spans="10:11" ht="15" customHeight="1" x14ac:dyDescent="0.25">
      <c r="J196"/>
      <c r="K196"/>
    </row>
    <row r="197" spans="10:11" ht="15" customHeight="1" x14ac:dyDescent="0.25">
      <c r="J197"/>
      <c r="K197"/>
    </row>
    <row r="198" spans="10:11" ht="15" customHeight="1" x14ac:dyDescent="0.25">
      <c r="J198"/>
      <c r="K198"/>
    </row>
    <row r="199" spans="10:11" ht="15" customHeight="1" x14ac:dyDescent="0.25">
      <c r="J199"/>
      <c r="K199"/>
    </row>
    <row r="200" spans="10:11" ht="15" customHeight="1" x14ac:dyDescent="0.25">
      <c r="J200"/>
      <c r="K200"/>
    </row>
    <row r="201" spans="10:11" ht="15" customHeight="1" x14ac:dyDescent="0.25">
      <c r="J201"/>
      <c r="K201"/>
    </row>
    <row r="202" spans="10:11" ht="15" customHeight="1" x14ac:dyDescent="0.25">
      <c r="J202"/>
      <c r="K202"/>
    </row>
    <row r="203" spans="10:11" ht="15" customHeight="1" x14ac:dyDescent="0.25">
      <c r="J203"/>
      <c r="K203"/>
    </row>
    <row r="204" spans="10:11" ht="15" customHeight="1" x14ac:dyDescent="0.25">
      <c r="J204"/>
      <c r="K204"/>
    </row>
    <row r="205" spans="10:11" ht="15" customHeight="1" x14ac:dyDescent="0.25">
      <c r="J205"/>
      <c r="K205"/>
    </row>
    <row r="206" spans="10:11" ht="15" customHeight="1" x14ac:dyDescent="0.25">
      <c r="J206"/>
      <c r="K206"/>
    </row>
    <row r="207" spans="10:11" ht="15" customHeight="1" x14ac:dyDescent="0.25">
      <c r="J207"/>
      <c r="K207"/>
    </row>
    <row r="208" spans="10:11" ht="15" customHeight="1" x14ac:dyDescent="0.25">
      <c r="J208"/>
      <c r="K208"/>
    </row>
    <row r="209" spans="10:11" ht="15" customHeight="1" x14ac:dyDescent="0.25">
      <c r="J209"/>
      <c r="K209"/>
    </row>
    <row r="210" spans="10:11" ht="15" customHeight="1" x14ac:dyDescent="0.25">
      <c r="J210"/>
      <c r="K210"/>
    </row>
    <row r="211" spans="10:11" ht="15" customHeight="1" x14ac:dyDescent="0.25">
      <c r="J211"/>
      <c r="K211"/>
    </row>
    <row r="212" spans="10:11" ht="15" customHeight="1" x14ac:dyDescent="0.25">
      <c r="J212"/>
      <c r="K212"/>
    </row>
    <row r="213" spans="10:11" ht="15" customHeight="1" x14ac:dyDescent="0.25">
      <c r="J213"/>
      <c r="K213"/>
    </row>
    <row r="214" spans="10:11" ht="15" customHeight="1" x14ac:dyDescent="0.25">
      <c r="J214"/>
      <c r="K214"/>
    </row>
    <row r="215" spans="10:11" ht="15" customHeight="1" x14ac:dyDescent="0.25">
      <c r="J215"/>
      <c r="K215"/>
    </row>
    <row r="216" spans="10:11" ht="15" customHeight="1" x14ac:dyDescent="0.25">
      <c r="J216"/>
      <c r="K216"/>
    </row>
    <row r="217" spans="10:11" ht="15" customHeight="1" x14ac:dyDescent="0.25">
      <c r="J217"/>
      <c r="K217"/>
    </row>
    <row r="218" spans="10:11" ht="15" customHeight="1" x14ac:dyDescent="0.25">
      <c r="J218"/>
      <c r="K218"/>
    </row>
    <row r="219" spans="10:11" ht="15" customHeight="1" x14ac:dyDescent="0.25">
      <c r="J219"/>
      <c r="K219"/>
    </row>
    <row r="220" spans="10:11" ht="15" customHeight="1" x14ac:dyDescent="0.25">
      <c r="J220"/>
      <c r="K220"/>
    </row>
    <row r="221" spans="10:11" ht="15" customHeight="1" x14ac:dyDescent="0.25">
      <c r="J221"/>
      <c r="K221"/>
    </row>
    <row r="222" spans="10:11" ht="15" customHeight="1" x14ac:dyDescent="0.25">
      <c r="J222"/>
      <c r="K222"/>
    </row>
    <row r="223" spans="10:11" ht="15" customHeight="1" x14ac:dyDescent="0.25">
      <c r="J223"/>
      <c r="K223"/>
    </row>
    <row r="224" spans="10:11" ht="15" customHeight="1" x14ac:dyDescent="0.25">
      <c r="J224"/>
      <c r="K224"/>
    </row>
    <row r="225" spans="10:11" ht="15" customHeight="1" x14ac:dyDescent="0.25">
      <c r="J225"/>
      <c r="K225"/>
    </row>
    <row r="226" spans="10:11" ht="15" customHeight="1" x14ac:dyDescent="0.25">
      <c r="J226"/>
      <c r="K226"/>
    </row>
    <row r="227" spans="10:11" ht="15" customHeight="1" x14ac:dyDescent="0.25">
      <c r="J227"/>
      <c r="K227"/>
    </row>
    <row r="228" spans="10:11" ht="15" customHeight="1" x14ac:dyDescent="0.25">
      <c r="J228"/>
      <c r="K228"/>
    </row>
    <row r="229" spans="10:11" ht="15" customHeight="1" x14ac:dyDescent="0.25">
      <c r="J229"/>
      <c r="K229"/>
    </row>
    <row r="230" spans="10:11" ht="15" customHeight="1" x14ac:dyDescent="0.25">
      <c r="J230"/>
      <c r="K230"/>
    </row>
    <row r="231" spans="10:11" ht="15" customHeight="1" x14ac:dyDescent="0.25">
      <c r="J231"/>
      <c r="K231"/>
    </row>
    <row r="232" spans="10:11" ht="15" customHeight="1" x14ac:dyDescent="0.25">
      <c r="J232"/>
      <c r="K232"/>
    </row>
    <row r="233" spans="10:11" ht="15" customHeight="1" x14ac:dyDescent="0.25">
      <c r="J233"/>
      <c r="K233"/>
    </row>
    <row r="234" spans="10:11" ht="15" customHeight="1" x14ac:dyDescent="0.25">
      <c r="J234"/>
      <c r="K234"/>
    </row>
    <row r="235" spans="10:11" ht="15" customHeight="1" x14ac:dyDescent="0.25">
      <c r="J235"/>
      <c r="K235"/>
    </row>
    <row r="236" spans="10:11" ht="15" customHeight="1" x14ac:dyDescent="0.25">
      <c r="J236"/>
      <c r="K236"/>
    </row>
    <row r="237" spans="10:11" ht="15" customHeight="1" x14ac:dyDescent="0.25">
      <c r="J237"/>
      <c r="K237"/>
    </row>
    <row r="238" spans="10:11" ht="15" customHeight="1" x14ac:dyDescent="0.25">
      <c r="J238"/>
      <c r="K238"/>
    </row>
    <row r="239" spans="10:11" ht="15" customHeight="1" x14ac:dyDescent="0.25">
      <c r="J239"/>
      <c r="K239"/>
    </row>
    <row r="240" spans="10:11" ht="15" customHeight="1" x14ac:dyDescent="0.25">
      <c r="J240"/>
      <c r="K240"/>
    </row>
    <row r="241" spans="10:11" ht="15" customHeight="1" x14ac:dyDescent="0.25">
      <c r="J241"/>
      <c r="K241"/>
    </row>
    <row r="242" spans="10:11" ht="15" customHeight="1" x14ac:dyDescent="0.25">
      <c r="J242"/>
      <c r="K242"/>
    </row>
    <row r="243" spans="10:11" ht="15" customHeight="1" x14ac:dyDescent="0.25">
      <c r="J243"/>
      <c r="K243"/>
    </row>
    <row r="244" spans="10:11" ht="15" customHeight="1" x14ac:dyDescent="0.25">
      <c r="J244"/>
      <c r="K244"/>
    </row>
    <row r="245" spans="10:11" ht="15" customHeight="1" x14ac:dyDescent="0.25">
      <c r="J245"/>
      <c r="K245"/>
    </row>
    <row r="246" spans="10:11" ht="15" customHeight="1" x14ac:dyDescent="0.25">
      <c r="J246"/>
      <c r="K246"/>
    </row>
    <row r="247" spans="10:11" ht="15" customHeight="1" x14ac:dyDescent="0.25">
      <c r="J247"/>
      <c r="K247"/>
    </row>
    <row r="248" spans="10:11" ht="15" customHeight="1" x14ac:dyDescent="0.25">
      <c r="J248"/>
      <c r="K248"/>
    </row>
    <row r="249" spans="10:11" ht="15" customHeight="1" x14ac:dyDescent="0.25">
      <c r="J249"/>
      <c r="K249"/>
    </row>
    <row r="250" spans="10:11" ht="15" customHeight="1" x14ac:dyDescent="0.25">
      <c r="J250"/>
      <c r="K250"/>
    </row>
    <row r="251" spans="10:11" ht="15" customHeight="1" x14ac:dyDescent="0.25">
      <c r="J251"/>
      <c r="K251"/>
    </row>
    <row r="252" spans="10:11" ht="15" customHeight="1" x14ac:dyDescent="0.25">
      <c r="J252"/>
      <c r="K252"/>
    </row>
    <row r="253" spans="10:11" ht="15" customHeight="1" x14ac:dyDescent="0.25">
      <c r="J253"/>
      <c r="K253"/>
    </row>
    <row r="254" spans="10:11" ht="15" customHeight="1" x14ac:dyDescent="0.25">
      <c r="J254"/>
      <c r="K254"/>
    </row>
    <row r="255" spans="10:11" ht="15" customHeight="1" x14ac:dyDescent="0.25">
      <c r="J255"/>
      <c r="K255"/>
    </row>
    <row r="256" spans="10:11" ht="15" customHeight="1" x14ac:dyDescent="0.25">
      <c r="J256"/>
      <c r="K256"/>
    </row>
    <row r="257" spans="10:11" ht="15" customHeight="1" x14ac:dyDescent="0.25">
      <c r="J257"/>
      <c r="K257"/>
    </row>
    <row r="258" spans="10:11" ht="15" customHeight="1" x14ac:dyDescent="0.25">
      <c r="J258"/>
      <c r="K258"/>
    </row>
    <row r="259" spans="10:11" ht="15" customHeight="1" x14ac:dyDescent="0.25">
      <c r="J259"/>
      <c r="K259"/>
    </row>
    <row r="260" spans="10:11" ht="15" customHeight="1" x14ac:dyDescent="0.25">
      <c r="J260"/>
      <c r="K260"/>
    </row>
    <row r="261" spans="10:11" ht="15" customHeight="1" x14ac:dyDescent="0.25">
      <c r="J261"/>
      <c r="K261"/>
    </row>
    <row r="262" spans="10:11" ht="15" customHeight="1" x14ac:dyDescent="0.25">
      <c r="J262"/>
      <c r="K262"/>
    </row>
    <row r="263" spans="10:11" ht="15" customHeight="1" x14ac:dyDescent="0.25">
      <c r="J263"/>
      <c r="K263"/>
    </row>
    <row r="264" spans="10:11" ht="15" customHeight="1" x14ac:dyDescent="0.25">
      <c r="J264"/>
      <c r="K264"/>
    </row>
    <row r="265" spans="10:11" ht="15" customHeight="1" x14ac:dyDescent="0.25">
      <c r="J265"/>
      <c r="K265"/>
    </row>
    <row r="266" spans="10:11" ht="15" customHeight="1" x14ac:dyDescent="0.25">
      <c r="J266"/>
      <c r="K266"/>
    </row>
    <row r="267" spans="10:11" ht="15" customHeight="1" x14ac:dyDescent="0.25">
      <c r="J267"/>
      <c r="K267"/>
    </row>
    <row r="268" spans="10:11" ht="15" customHeight="1" x14ac:dyDescent="0.25">
      <c r="J268"/>
      <c r="K268"/>
    </row>
    <row r="269" spans="10:11" ht="15" customHeight="1" x14ac:dyDescent="0.25">
      <c r="J269"/>
      <c r="K269"/>
    </row>
    <row r="270" spans="10:11" ht="15" customHeight="1" x14ac:dyDescent="0.25">
      <c r="J270"/>
      <c r="K270"/>
    </row>
    <row r="271" spans="10:11" ht="15" customHeight="1" x14ac:dyDescent="0.25">
      <c r="J271"/>
      <c r="K271"/>
    </row>
    <row r="272" spans="10:11" ht="15" customHeight="1" x14ac:dyDescent="0.25">
      <c r="J272"/>
      <c r="K272"/>
    </row>
    <row r="273" spans="10:11" ht="15" customHeight="1" x14ac:dyDescent="0.25">
      <c r="J273"/>
      <c r="K273"/>
    </row>
    <row r="274" spans="10:11" ht="15" customHeight="1" x14ac:dyDescent="0.25">
      <c r="J274"/>
      <c r="K274"/>
    </row>
    <row r="275" spans="10:11" ht="15" customHeight="1" x14ac:dyDescent="0.25">
      <c r="J275"/>
      <c r="K275"/>
    </row>
    <row r="276" spans="10:11" ht="15" customHeight="1" x14ac:dyDescent="0.25">
      <c r="J276"/>
      <c r="K276"/>
    </row>
    <row r="277" spans="10:11" ht="15" customHeight="1" x14ac:dyDescent="0.25">
      <c r="J277"/>
      <c r="K277"/>
    </row>
    <row r="278" spans="10:11" ht="15" customHeight="1" x14ac:dyDescent="0.25">
      <c r="J278"/>
      <c r="K278"/>
    </row>
    <row r="279" spans="10:11" ht="15" customHeight="1" x14ac:dyDescent="0.25">
      <c r="J279"/>
      <c r="K279"/>
    </row>
    <row r="280" spans="10:11" ht="15" customHeight="1" x14ac:dyDescent="0.25">
      <c r="J280"/>
      <c r="K280"/>
    </row>
    <row r="281" spans="10:11" ht="15" customHeight="1" x14ac:dyDescent="0.25">
      <c r="J281"/>
      <c r="K281"/>
    </row>
    <row r="282" spans="10:11" ht="15" customHeight="1" x14ac:dyDescent="0.25">
      <c r="J282"/>
      <c r="K282"/>
    </row>
    <row r="283" spans="10:11" ht="15" customHeight="1" x14ac:dyDescent="0.25">
      <c r="J283"/>
      <c r="K283"/>
    </row>
    <row r="284" spans="10:11" ht="15" customHeight="1" x14ac:dyDescent="0.25">
      <c r="J284"/>
      <c r="K284"/>
    </row>
    <row r="285" spans="10:11" ht="15" customHeight="1" x14ac:dyDescent="0.25">
      <c r="J285"/>
      <c r="K285"/>
    </row>
    <row r="286" spans="10:11" ht="15" customHeight="1" x14ac:dyDescent="0.25">
      <c r="J286"/>
      <c r="K286"/>
    </row>
    <row r="287" spans="10:11" ht="15" customHeight="1" x14ac:dyDescent="0.25">
      <c r="J287"/>
      <c r="K287"/>
    </row>
    <row r="288" spans="10:11" ht="15" customHeight="1" x14ac:dyDescent="0.25">
      <c r="J288"/>
      <c r="K288"/>
    </row>
    <row r="289" spans="10:11" ht="15" customHeight="1" x14ac:dyDescent="0.25">
      <c r="J289"/>
      <c r="K289"/>
    </row>
    <row r="290" spans="10:11" ht="15" customHeight="1" x14ac:dyDescent="0.25">
      <c r="J290"/>
      <c r="K290"/>
    </row>
    <row r="291" spans="10:11" ht="15" customHeight="1" x14ac:dyDescent="0.25">
      <c r="J291"/>
      <c r="K291"/>
    </row>
    <row r="292" spans="10:11" ht="15" customHeight="1" x14ac:dyDescent="0.25">
      <c r="J292"/>
      <c r="K292"/>
    </row>
    <row r="293" spans="10:11" ht="15" customHeight="1" x14ac:dyDescent="0.25">
      <c r="J293"/>
      <c r="K293"/>
    </row>
    <row r="294" spans="10:11" ht="15" customHeight="1" x14ac:dyDescent="0.25">
      <c r="J294"/>
      <c r="K294"/>
    </row>
    <row r="295" spans="10:11" ht="15" customHeight="1" x14ac:dyDescent="0.25">
      <c r="J295"/>
      <c r="K295"/>
    </row>
    <row r="296" spans="10:11" ht="15" customHeight="1" x14ac:dyDescent="0.25">
      <c r="J296"/>
      <c r="K296"/>
    </row>
    <row r="297" spans="10:11" ht="15" customHeight="1" x14ac:dyDescent="0.25">
      <c r="J297"/>
      <c r="K297"/>
    </row>
    <row r="298" spans="10:11" ht="15" customHeight="1" x14ac:dyDescent="0.25">
      <c r="J298"/>
      <c r="K298"/>
    </row>
    <row r="299" spans="10:11" ht="15" customHeight="1" x14ac:dyDescent="0.25">
      <c r="J299"/>
      <c r="K299"/>
    </row>
    <row r="300" spans="10:11" ht="15" customHeight="1" x14ac:dyDescent="0.25">
      <c r="J300"/>
      <c r="K300"/>
    </row>
    <row r="301" spans="10:11" ht="15" customHeight="1" x14ac:dyDescent="0.25">
      <c r="J301"/>
      <c r="K301"/>
    </row>
    <row r="302" spans="10:11" ht="15" customHeight="1" x14ac:dyDescent="0.25">
      <c r="J302"/>
      <c r="K302"/>
    </row>
    <row r="303" spans="10:11" ht="15" customHeight="1" x14ac:dyDescent="0.25">
      <c r="J303"/>
      <c r="K303"/>
    </row>
    <row r="304" spans="10:11" ht="15" customHeight="1" x14ac:dyDescent="0.25">
      <c r="J304"/>
      <c r="K304"/>
    </row>
    <row r="305" spans="10:11" ht="15" customHeight="1" x14ac:dyDescent="0.25">
      <c r="J305"/>
      <c r="K305"/>
    </row>
    <row r="306" spans="10:11" ht="15" customHeight="1" x14ac:dyDescent="0.25">
      <c r="J306"/>
      <c r="K306"/>
    </row>
    <row r="307" spans="10:11" ht="15" customHeight="1" x14ac:dyDescent="0.25">
      <c r="J307"/>
      <c r="K307"/>
    </row>
    <row r="308" spans="10:11" ht="15" customHeight="1" x14ac:dyDescent="0.25">
      <c r="J308"/>
      <c r="K308"/>
    </row>
    <row r="309" spans="10:11" ht="15" customHeight="1" x14ac:dyDescent="0.25">
      <c r="J309"/>
      <c r="K309"/>
    </row>
    <row r="310" spans="10:11" ht="15" customHeight="1" x14ac:dyDescent="0.25">
      <c r="J310"/>
      <c r="K310"/>
    </row>
    <row r="311" spans="10:11" ht="15" customHeight="1" x14ac:dyDescent="0.25">
      <c r="J311"/>
      <c r="K311"/>
    </row>
    <row r="312" spans="10:11" ht="15" customHeight="1" x14ac:dyDescent="0.25">
      <c r="J312"/>
      <c r="K312"/>
    </row>
    <row r="313" spans="10:11" ht="15" customHeight="1" x14ac:dyDescent="0.25">
      <c r="J313"/>
      <c r="K313"/>
    </row>
    <row r="314" spans="10:11" ht="15" customHeight="1" x14ac:dyDescent="0.25">
      <c r="J314"/>
      <c r="K314"/>
    </row>
    <row r="315" spans="10:11" ht="15" customHeight="1" x14ac:dyDescent="0.25">
      <c r="J315"/>
      <c r="K315"/>
    </row>
    <row r="316" spans="10:11" ht="15" customHeight="1" x14ac:dyDescent="0.25">
      <c r="J316"/>
      <c r="K316"/>
    </row>
    <row r="317" spans="10:11" ht="15" customHeight="1" x14ac:dyDescent="0.25">
      <c r="J317"/>
      <c r="K317"/>
    </row>
    <row r="318" spans="10:11" ht="15" customHeight="1" x14ac:dyDescent="0.25">
      <c r="J318"/>
      <c r="K318"/>
    </row>
    <row r="319" spans="10:11" ht="15" customHeight="1" x14ac:dyDescent="0.25">
      <c r="J319"/>
      <c r="K319"/>
    </row>
    <row r="320" spans="10:11" ht="15" customHeight="1" x14ac:dyDescent="0.25">
      <c r="J320"/>
      <c r="K320"/>
    </row>
    <row r="321" spans="10:11" ht="15" customHeight="1" x14ac:dyDescent="0.25">
      <c r="J321"/>
      <c r="K321"/>
    </row>
    <row r="322" spans="10:11" ht="15" customHeight="1" x14ac:dyDescent="0.25">
      <c r="J322"/>
      <c r="K322"/>
    </row>
    <row r="323" spans="10:11" ht="15" customHeight="1" x14ac:dyDescent="0.25">
      <c r="J323"/>
      <c r="K323"/>
    </row>
    <row r="324" spans="10:11" ht="15" customHeight="1" x14ac:dyDescent="0.25">
      <c r="J324"/>
      <c r="K324"/>
    </row>
    <row r="325" spans="10:11" ht="15" customHeight="1" x14ac:dyDescent="0.25">
      <c r="J325"/>
      <c r="K325"/>
    </row>
    <row r="326" spans="10:11" ht="15" customHeight="1" x14ac:dyDescent="0.25">
      <c r="J326"/>
      <c r="K326"/>
    </row>
    <row r="327" spans="10:11" ht="15" customHeight="1" x14ac:dyDescent="0.25">
      <c r="J327"/>
      <c r="K327"/>
    </row>
    <row r="328" spans="10:11" ht="15" customHeight="1" x14ac:dyDescent="0.25">
      <c r="J328"/>
      <c r="K328"/>
    </row>
    <row r="329" spans="10:11" ht="15" customHeight="1" x14ac:dyDescent="0.25">
      <c r="J329"/>
      <c r="K329"/>
    </row>
    <row r="330" spans="10:11" ht="15" customHeight="1" x14ac:dyDescent="0.25">
      <c r="J330"/>
      <c r="K330"/>
    </row>
    <row r="331" spans="10:11" ht="15" customHeight="1" x14ac:dyDescent="0.25">
      <c r="J331"/>
      <c r="K331"/>
    </row>
    <row r="332" spans="10:11" ht="15" customHeight="1" x14ac:dyDescent="0.25">
      <c r="J332"/>
      <c r="K332"/>
    </row>
    <row r="333" spans="10:11" ht="15" customHeight="1" x14ac:dyDescent="0.25">
      <c r="J333"/>
      <c r="K333"/>
    </row>
    <row r="334" spans="10:11" ht="15" customHeight="1" x14ac:dyDescent="0.25">
      <c r="J334"/>
      <c r="K334"/>
    </row>
    <row r="335" spans="10:11" ht="15" customHeight="1" x14ac:dyDescent="0.25">
      <c r="J335"/>
      <c r="K335"/>
    </row>
    <row r="336" spans="10:11" ht="15" customHeight="1" x14ac:dyDescent="0.25">
      <c r="J336"/>
      <c r="K336"/>
    </row>
    <row r="337" spans="10:11" ht="15" customHeight="1" x14ac:dyDescent="0.25">
      <c r="J337"/>
      <c r="K337"/>
    </row>
    <row r="338" spans="10:11" ht="15" customHeight="1" x14ac:dyDescent="0.25">
      <c r="J338"/>
      <c r="K338"/>
    </row>
    <row r="339" spans="10:11" ht="15" customHeight="1" x14ac:dyDescent="0.25">
      <c r="J339"/>
      <c r="K339"/>
    </row>
    <row r="340" spans="10:11" ht="15" customHeight="1" x14ac:dyDescent="0.25">
      <c r="J340"/>
      <c r="K340"/>
    </row>
    <row r="341" spans="10:11" ht="15" customHeight="1" x14ac:dyDescent="0.25">
      <c r="J341"/>
      <c r="K341"/>
    </row>
    <row r="342" spans="10:11" ht="15" customHeight="1" x14ac:dyDescent="0.25">
      <c r="J342"/>
      <c r="K342"/>
    </row>
    <row r="343" spans="10:11" ht="15" customHeight="1" x14ac:dyDescent="0.25">
      <c r="J343"/>
      <c r="K343"/>
    </row>
    <row r="344" spans="10:11" ht="15" customHeight="1" x14ac:dyDescent="0.25">
      <c r="J344"/>
      <c r="K344"/>
    </row>
    <row r="345" spans="10:11" ht="15" customHeight="1" x14ac:dyDescent="0.25">
      <c r="J345"/>
      <c r="K345"/>
    </row>
    <row r="346" spans="10:11" ht="15" customHeight="1" x14ac:dyDescent="0.25">
      <c r="J346"/>
      <c r="K346"/>
    </row>
    <row r="347" spans="10:11" ht="15" customHeight="1" x14ac:dyDescent="0.25">
      <c r="J347"/>
      <c r="K347"/>
    </row>
    <row r="348" spans="10:11" ht="15" customHeight="1" x14ac:dyDescent="0.25">
      <c r="J348"/>
      <c r="K348"/>
    </row>
    <row r="349" spans="10:11" ht="15" customHeight="1" x14ac:dyDescent="0.25">
      <c r="J349"/>
      <c r="K349"/>
    </row>
    <row r="350" spans="10:11" ht="15" customHeight="1" x14ac:dyDescent="0.25">
      <c r="J350"/>
      <c r="K350"/>
    </row>
    <row r="351" spans="10:11" ht="15" customHeight="1" x14ac:dyDescent="0.25">
      <c r="J351"/>
      <c r="K351"/>
    </row>
    <row r="352" spans="10:11" ht="15" customHeight="1" x14ac:dyDescent="0.25">
      <c r="J352"/>
      <c r="K352"/>
    </row>
    <row r="353" spans="10:11" ht="15" customHeight="1" x14ac:dyDescent="0.25">
      <c r="J353"/>
      <c r="K353"/>
    </row>
    <row r="354" spans="10:11" ht="15" customHeight="1" x14ac:dyDescent="0.25">
      <c r="J354"/>
      <c r="K354"/>
    </row>
    <row r="355" spans="10:11" ht="15" customHeight="1" x14ac:dyDescent="0.25">
      <c r="J355"/>
      <c r="K355"/>
    </row>
    <row r="356" spans="10:11" ht="15" customHeight="1" x14ac:dyDescent="0.25">
      <c r="J356"/>
      <c r="K356"/>
    </row>
    <row r="357" spans="10:11" ht="15" customHeight="1" x14ac:dyDescent="0.25">
      <c r="J357"/>
      <c r="K357"/>
    </row>
    <row r="358" spans="10:11" ht="15" customHeight="1" x14ac:dyDescent="0.25">
      <c r="J358"/>
      <c r="K358"/>
    </row>
    <row r="359" spans="10:11" ht="15" customHeight="1" x14ac:dyDescent="0.25">
      <c r="J359"/>
      <c r="K359"/>
    </row>
    <row r="360" spans="10:11" ht="15" customHeight="1" x14ac:dyDescent="0.25">
      <c r="J360"/>
      <c r="K360"/>
    </row>
    <row r="361" spans="10:11" ht="15" customHeight="1" x14ac:dyDescent="0.25">
      <c r="J361"/>
      <c r="K361"/>
    </row>
    <row r="362" spans="10:11" ht="15" customHeight="1" x14ac:dyDescent="0.25">
      <c r="J362"/>
      <c r="K362"/>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BB33F-873E-4AB3-8511-2E01E12D3762}">
  <dimension ref="A1"/>
  <sheetViews>
    <sheetView zoomScaleNormal="100" workbookViewId="0">
      <selection activeCell="J52" sqref="J52"/>
    </sheetView>
  </sheetViews>
  <sheetFormatPr defaultRowHeight="15" x14ac:dyDescent="0.25"/>
  <cols>
    <col min="1" max="1" width="24.5703125" style="10" customWidth="1"/>
    <col min="2" max="18" width="9.140625" style="9"/>
    <col min="19" max="19" width="26.28515625" style="9" bestFit="1" customWidth="1"/>
    <col min="20" max="20" width="23.140625" style="9" bestFit="1" customWidth="1"/>
    <col min="21" max="21" width="28" style="9" customWidth="1"/>
    <col min="22" max="22" width="32.42578125" style="9" customWidth="1"/>
    <col min="23" max="24" width="28.7109375" style="9" customWidth="1"/>
    <col min="25" max="30" width="9.140625" style="9"/>
    <col min="31" max="31" width="9.140625" style="9" customWidth="1"/>
    <col min="32" max="16384" width="9.140625" style="9"/>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8290C-D118-4976-A79D-40009D0E9503}">
  <dimension ref="A1"/>
  <sheetViews>
    <sheetView workbookViewId="0">
      <selection activeCell="K4" sqref="K4"/>
    </sheetView>
  </sheetViews>
  <sheetFormatPr defaultRowHeight="15" x14ac:dyDescent="0.25"/>
  <cols>
    <col min="1" max="1" width="24.5703125" style="10" customWidth="1"/>
    <col min="2"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267F102-A99E-47B3-868C-B3A53EB188F8}">
  <ds:schemaRefs>
    <ds:schemaRef ds:uri="http://schemas.microsoft.com/DataMashup"/>
  </ds:schemaRefs>
</ds:datastoreItem>
</file>

<file path=customXml/itemProps2.xml><?xml version="1.0" encoding="utf-8"?>
<ds:datastoreItem xmlns:ds="http://schemas.openxmlformats.org/officeDocument/2006/customXml" ds:itemID="{5B84680C-8054-487F-8F64-AF24F5F9DCDB}">
  <ds:schemaRefs/>
</ds:datastoreItem>
</file>

<file path=customXml/itemProps3.xml><?xml version="1.0" encoding="utf-8"?>
<ds:datastoreItem xmlns:ds="http://schemas.openxmlformats.org/officeDocument/2006/customXml" ds:itemID="{0FAF248B-288E-4543-9726-0E8C7663ADFC}">
  <ds:schemaRefs/>
</ds:datastoreItem>
</file>

<file path=customXml/itemProps4.xml><?xml version="1.0" encoding="utf-8"?>
<ds:datastoreItem xmlns:ds="http://schemas.openxmlformats.org/officeDocument/2006/customXml" ds:itemID="{3288ADAF-E83C-4EA4-9574-20AF6398D76B}">
  <ds:schemaRefs/>
</ds:datastoreItem>
</file>

<file path=customXml/itemProps5.xml><?xml version="1.0" encoding="utf-8"?>
<ds:datastoreItem xmlns:ds="http://schemas.openxmlformats.org/officeDocument/2006/customXml" ds:itemID="{A45A9697-DD9A-4E0F-B955-A7AFF0A56044}">
  <ds:schemaRefs/>
</ds:datastoreItem>
</file>

<file path=customXml/itemProps6.xml><?xml version="1.0" encoding="utf-8"?>
<ds:datastoreItem xmlns:ds="http://schemas.openxmlformats.org/officeDocument/2006/customXml" ds:itemID="{C9B1D22E-555A-434C-A4E6-6DFC98163A2A}">
  <ds:schemaRefs/>
</ds:datastoreItem>
</file>

<file path=customXml/itemProps7.xml><?xml version="1.0" encoding="utf-8"?>
<ds:datastoreItem xmlns:ds="http://schemas.openxmlformats.org/officeDocument/2006/customXml" ds:itemID="{01090D17-17CE-4E25-BAB1-70463AE6CC68}">
  <ds:schemaRefs/>
</ds:datastoreItem>
</file>

<file path=customXml/itemProps8.xml><?xml version="1.0" encoding="utf-8"?>
<ds:datastoreItem xmlns:ds="http://schemas.openxmlformats.org/officeDocument/2006/customXml" ds:itemID="{5857A6A5-68C5-4C79-9DD5-1A128551D8E2}">
  <ds:schemaRefs/>
</ds:datastoreItem>
</file>

<file path=customXml/itemProps9.xml><?xml version="1.0" encoding="utf-8"?>
<ds:datastoreItem xmlns:ds="http://schemas.openxmlformats.org/officeDocument/2006/customXml" ds:itemID="{D2A08E65-AA45-479F-A87C-28C7FCDBBFBC}">
  <ds:schemaRefs/>
</ds:datastoreItem>
</file>

<file path=customXml/itemProps10.xml><?xml version="1.0" encoding="utf-8"?>
<ds:datastoreItem xmlns:ds="http://schemas.openxmlformats.org/officeDocument/2006/customXml" ds:itemID="{FF200347-86B6-40B7-B355-69719D4FD7F2}">
  <ds:schemaRefs/>
</ds:datastoreItem>
</file>

<file path=customXml/itemProps11.xml><?xml version="1.0" encoding="utf-8"?>
<ds:datastoreItem xmlns:ds="http://schemas.openxmlformats.org/officeDocument/2006/customXml" ds:itemID="{50C392F0-2AA0-4BC9-B40C-CDAAD4EFBA2E}">
  <ds:schemaRefs/>
</ds:datastoreItem>
</file>

<file path=customXml/itemProps12.xml><?xml version="1.0" encoding="utf-8"?>
<ds:datastoreItem xmlns:ds="http://schemas.openxmlformats.org/officeDocument/2006/customXml" ds:itemID="{6007B026-DF43-422F-AC37-1CA3A144C2CB}">
  <ds:schemaRefs/>
</ds:datastoreItem>
</file>

<file path=customXml/itemProps13.xml><?xml version="1.0" encoding="utf-8"?>
<ds:datastoreItem xmlns:ds="http://schemas.openxmlformats.org/officeDocument/2006/customXml" ds:itemID="{05AAAACF-2917-4857-85B0-906BF312838C}">
  <ds:schemaRefs/>
</ds:datastoreItem>
</file>

<file path=customXml/itemProps14.xml><?xml version="1.0" encoding="utf-8"?>
<ds:datastoreItem xmlns:ds="http://schemas.openxmlformats.org/officeDocument/2006/customXml" ds:itemID="{87FBAA95-25C2-4ACF-BC33-4719495C9F3C}">
  <ds:schemaRefs/>
</ds:datastoreItem>
</file>

<file path=customXml/itemProps15.xml><?xml version="1.0" encoding="utf-8"?>
<ds:datastoreItem xmlns:ds="http://schemas.openxmlformats.org/officeDocument/2006/customXml" ds:itemID="{83939C1F-5C64-4753-A9AA-B709AE634B64}">
  <ds:schemaRefs/>
</ds:datastoreItem>
</file>

<file path=customXml/itemProps16.xml><?xml version="1.0" encoding="utf-8"?>
<ds:datastoreItem xmlns:ds="http://schemas.openxmlformats.org/officeDocument/2006/customXml" ds:itemID="{BCE3B843-D232-4C05-8133-9F1A09FB37CB}">
  <ds:schemaRefs/>
</ds:datastoreItem>
</file>

<file path=customXml/itemProps17.xml><?xml version="1.0" encoding="utf-8"?>
<ds:datastoreItem xmlns:ds="http://schemas.openxmlformats.org/officeDocument/2006/customXml" ds:itemID="{199BFBCF-6CDD-4928-BF7B-2DE9D6914620}">
  <ds:schemaRefs/>
</ds:datastoreItem>
</file>

<file path=customXml/itemProps18.xml><?xml version="1.0" encoding="utf-8"?>
<ds:datastoreItem xmlns:ds="http://schemas.openxmlformats.org/officeDocument/2006/customXml" ds:itemID="{FE0288DA-448D-483A-BB74-724D343803DA}">
  <ds:schemaRefs/>
</ds:datastoreItem>
</file>

<file path=customXml/itemProps19.xml><?xml version="1.0" encoding="utf-8"?>
<ds:datastoreItem xmlns:ds="http://schemas.openxmlformats.org/officeDocument/2006/customXml" ds:itemID="{866C3300-F26D-4E0C-B6DA-D006320EE8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staff</vt:lpstr>
      <vt:lpstr>services_weekly</vt:lpstr>
      <vt:lpstr>patients</vt:lpstr>
      <vt:lpstr>raw_calculations</vt:lpstr>
      <vt:lpstr>dashboard</vt:lpstr>
      <vt:lpstr>specific_info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Dominik Czerny</dc:creator>
  <cp:lastModifiedBy>Dominik Czerny</cp:lastModifiedBy>
  <dcterms:created xsi:type="dcterms:W3CDTF">2025-10-21T11:49:57Z</dcterms:created>
  <dcterms:modified xsi:type="dcterms:W3CDTF">2025-10-23T12:07:55Z</dcterms:modified>
</cp:coreProperties>
</file>